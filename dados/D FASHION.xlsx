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Fashion\Documents\GitHub\controleFinanceiro2\dados\"/>
    </mc:Choice>
  </mc:AlternateContent>
  <xr:revisionPtr revIDLastSave="0" documentId="8_{B0D5C62C-E5E4-43A9-A716-D7ABB09AD0BA}" xr6:coauthVersionLast="47" xr6:coauthVersionMax="47" xr10:uidLastSave="{00000000-0000-0000-0000-000000000000}"/>
  <bookViews>
    <workbookView xWindow="-120" yWindow="-120" windowWidth="29040" windowHeight="15720" firstSheet="9" activeTab="16" xr2:uid="{00000000-000D-0000-FFFF-FFFF00000000}"/>
  </bookViews>
  <sheets>
    <sheet name="FORNECEDORES" sheetId="1" r:id="rId1"/>
    <sheet name="ABRIL(DESPESAS)" sheetId="2" r:id="rId2"/>
    <sheet name="MAIO(DESPESAS)" sheetId="3" r:id="rId3"/>
    <sheet name="JUNHO(DESPESAS)" sheetId="4" r:id="rId4"/>
    <sheet name="JULHO(DESPESAS)" sheetId="5" r:id="rId5"/>
    <sheet name="AGOSTO(DESPESAS)" sheetId="6" r:id="rId6"/>
    <sheet name="SETEMBRO(DESPESAS)" sheetId="7" r:id="rId7"/>
    <sheet name="OUTUBRO(DESPESAS)" sheetId="8" r:id="rId8"/>
    <sheet name="NOVEMBRO(DESPESAS)" sheetId="9" r:id="rId9"/>
    <sheet name="DEZEMBRO(DESPESAS)" sheetId="10" r:id="rId10"/>
    <sheet name="Janeiro 2026" sheetId="11" r:id="rId11"/>
    <sheet name="Fevereiro 2026" sheetId="12" r:id="rId12"/>
    <sheet name="Março 2026" sheetId="13" r:id="rId13"/>
    <sheet name="Abril 2026" sheetId="14" r:id="rId14"/>
    <sheet name="Junho 2026" sheetId="15" r:id="rId15"/>
    <sheet name="Maio 2026" sheetId="16" r:id="rId16"/>
    <sheet name="Julho 2026" sheetId="17" r:id="rId17"/>
    <sheet name="Agosto 2026" sheetId="18" r:id="rId18"/>
    <sheet name="Setembro 2026" sheetId="19" r:id="rId19"/>
    <sheet name="Outubro 2026" sheetId="20" r:id="rId20"/>
    <sheet name="Novembro 2026" sheetId="21" r:id="rId21"/>
    <sheet name="Dezembro 2026" sheetId="22" r:id="rId22"/>
  </sheets>
  <definedNames>
    <definedName name="_xlnm._FilterDatabase" localSheetId="3" hidden="1">'JUNHO(DESPESAS)'!$C$1:$C$1106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6" roundtripDataChecksum="+GPDENba9AqSM8xS51zSqRQ5UNCBJMju3oc2jCnnsfc="/>
    </ext>
  </extLst>
</workbook>
</file>

<file path=xl/calcChain.xml><?xml version="1.0" encoding="utf-8"?>
<calcChain xmlns="http://schemas.openxmlformats.org/spreadsheetml/2006/main">
  <c r="F61" i="22" l="1"/>
  <c r="E61" i="22"/>
  <c r="H60" i="22"/>
  <c r="F61" i="21"/>
  <c r="E61" i="21"/>
  <c r="H60" i="21"/>
  <c r="F61" i="20"/>
  <c r="E61" i="20"/>
  <c r="H60" i="20"/>
  <c r="F61" i="19"/>
  <c r="E61" i="19"/>
  <c r="H60" i="19"/>
  <c r="F61" i="18"/>
  <c r="E61" i="18"/>
  <c r="H60" i="18"/>
  <c r="H60" i="17"/>
  <c r="H60" i="16"/>
  <c r="F61" i="15"/>
  <c r="E61" i="15"/>
  <c r="H60" i="15"/>
  <c r="F64" i="14"/>
  <c r="E64" i="14"/>
  <c r="H63" i="14"/>
  <c r="F64" i="13"/>
  <c r="E64" i="13"/>
  <c r="H63" i="13"/>
  <c r="F79" i="12"/>
  <c r="E79" i="12"/>
  <c r="F80" i="11"/>
  <c r="E80" i="11"/>
  <c r="E86" i="10"/>
  <c r="F161" i="9"/>
  <c r="E161" i="9"/>
  <c r="H159" i="9"/>
  <c r="F163" i="8"/>
  <c r="E163" i="8"/>
  <c r="H162" i="8"/>
  <c r="G105" i="7"/>
  <c r="F105" i="7"/>
  <c r="E105" i="7"/>
  <c r="H104" i="7"/>
  <c r="H123" i="6"/>
  <c r="F122" i="6"/>
  <c r="E122" i="6"/>
  <c r="G122" i="6" s="1"/>
  <c r="H133" i="5"/>
  <c r="F132" i="5"/>
  <c r="E132" i="5"/>
  <c r="G132" i="5" s="1"/>
  <c r="H134" i="4"/>
  <c r="F132" i="4"/>
  <c r="E132" i="4"/>
  <c r="G132" i="4" s="1"/>
  <c r="F18" i="4"/>
  <c r="F197" i="3"/>
  <c r="I83" i="3"/>
  <c r="F82" i="3"/>
  <c r="E82" i="3"/>
  <c r="G82" i="3" s="1"/>
  <c r="E39" i="2"/>
  <c r="E27" i="2"/>
  <c r="F11" i="2"/>
  <c r="E11" i="2"/>
  <c r="H27" i="2" s="1"/>
</calcChain>
</file>

<file path=xl/sharedStrings.xml><?xml version="1.0" encoding="utf-8"?>
<sst xmlns="http://schemas.openxmlformats.org/spreadsheetml/2006/main" count="1763" uniqueCount="634">
  <si>
    <t>FORNECEDORES</t>
  </si>
  <si>
    <t>DATA</t>
  </si>
  <si>
    <t>CHAVE PIX</t>
  </si>
  <si>
    <t>NOME</t>
  </si>
  <si>
    <t>TELEFONE</t>
  </si>
  <si>
    <t>Nº DOCUMENTO</t>
  </si>
  <si>
    <t>ALVES</t>
  </si>
  <si>
    <t>CONTAS A PAGAR</t>
  </si>
  <si>
    <t>VENCIMENTO</t>
  </si>
  <si>
    <t>18-99145-1122</t>
  </si>
  <si>
    <t>VALOR PAGO</t>
  </si>
  <si>
    <t>VALOR Á PAGAR</t>
  </si>
  <si>
    <t>VALOR A PAGAR</t>
  </si>
  <si>
    <t xml:space="preserve">ALEX MONTADOR </t>
  </si>
  <si>
    <t>PAGAMENTO</t>
  </si>
  <si>
    <t>18-991205970</t>
  </si>
  <si>
    <t>OBSERVAÇOES</t>
  </si>
  <si>
    <t>ALAN</t>
  </si>
  <si>
    <t>18-98200-87-87</t>
  </si>
  <si>
    <t>RECEBIMENTO</t>
  </si>
  <si>
    <t>ALINE DESIGN METAIS</t>
  </si>
  <si>
    <t>21.368.785/0001-20</t>
  </si>
  <si>
    <t>ANDRÉ TIRAS</t>
  </si>
  <si>
    <t>OBSERVAÇÃO</t>
  </si>
  <si>
    <t>17.283.015/0001-07</t>
  </si>
  <si>
    <t>ARMAZEM COMP.(CLAUDIO)</t>
  </si>
  <si>
    <t>108.826.128.08</t>
  </si>
  <si>
    <t>BARBOSA EXTINTORES</t>
  </si>
  <si>
    <t>18-99722-0481</t>
  </si>
  <si>
    <t>BROLI</t>
  </si>
  <si>
    <t>06.306.907/0001-60</t>
  </si>
  <si>
    <t>B.M</t>
  </si>
  <si>
    <t>15.631.155/0001-01</t>
  </si>
  <si>
    <t>brunildes</t>
  </si>
  <si>
    <t>18-992037000</t>
  </si>
  <si>
    <t>SENEQUE</t>
  </si>
  <si>
    <t>CEBOLÃO</t>
  </si>
  <si>
    <t>ALVES COMPONENTES</t>
  </si>
  <si>
    <t>37.914.654/0001-30</t>
  </si>
  <si>
    <t>DESIGN METAIS  ALINE</t>
  </si>
  <si>
    <t>213687850001-20</t>
  </si>
  <si>
    <t>DIELI PESPONTADEIRA</t>
  </si>
  <si>
    <t>119.938.188-80</t>
  </si>
  <si>
    <t>PIX</t>
  </si>
  <si>
    <t>EDUARDO BARRACAO</t>
  </si>
  <si>
    <t>067.220.908-09</t>
  </si>
  <si>
    <t xml:space="preserve">EDSON MONTAGEM </t>
  </si>
  <si>
    <t>325.309.598-38</t>
  </si>
  <si>
    <t>E &amp; G INJETADOS (SEU HELIO)</t>
  </si>
  <si>
    <t>07.806.308/0001-78</t>
  </si>
  <si>
    <t>5% DESCONTO</t>
  </si>
  <si>
    <t>EDY(MIRIAN MOURA)</t>
  </si>
  <si>
    <t>18-99732-0685</t>
  </si>
  <si>
    <t>SIMPLES NACIONAL(Carlos)</t>
  </si>
  <si>
    <t>EDILEUSA SIDNEY</t>
  </si>
  <si>
    <t>245.596.688-76</t>
  </si>
  <si>
    <t>EMERSON</t>
  </si>
  <si>
    <t>861.551.996.04</t>
  </si>
  <si>
    <t>CARTAO DEBITO</t>
  </si>
  <si>
    <t>ELAINE STRAS</t>
  </si>
  <si>
    <t>28.486.930/0001-16</t>
  </si>
  <si>
    <t>ELISA PESPONTADEIRA</t>
  </si>
  <si>
    <t>18-99654-4977</t>
  </si>
  <si>
    <t>CORAÇOES</t>
  </si>
  <si>
    <t>FLAVIO</t>
  </si>
  <si>
    <t>12.393.416/0001-04</t>
  </si>
  <si>
    <t xml:space="preserve">GABRIEL </t>
  </si>
  <si>
    <t>MIRIAN MOURA</t>
  </si>
  <si>
    <t>502.211.478-02</t>
  </si>
  <si>
    <t>GUGU</t>
  </si>
  <si>
    <t>18-99785-5597</t>
  </si>
  <si>
    <t>GRIFO</t>
  </si>
  <si>
    <t>VICCAM</t>
  </si>
  <si>
    <t>24.289.672/0001-27</t>
  </si>
  <si>
    <t xml:space="preserve">GILSON  COLA </t>
  </si>
  <si>
    <t>18-99653-8990</t>
  </si>
  <si>
    <t>IAN</t>
  </si>
  <si>
    <t>SALDO MES ANTERIOR</t>
  </si>
  <si>
    <t>23.854.657/0001-11</t>
  </si>
  <si>
    <t>VIVIANE SOLA</t>
  </si>
  <si>
    <t>IARA</t>
  </si>
  <si>
    <t>CPFL</t>
  </si>
  <si>
    <t>18-99743-1950</t>
  </si>
  <si>
    <t>INCAL</t>
  </si>
  <si>
    <t>18-99770-0303</t>
  </si>
  <si>
    <t>INJETADOS COROADOS</t>
  </si>
  <si>
    <t>18-99186-9677</t>
  </si>
  <si>
    <t>KATHARTION</t>
  </si>
  <si>
    <t>191.543.588-92</t>
  </si>
  <si>
    <t>NOROESTE COMPONENTES</t>
  </si>
  <si>
    <t>LIDI</t>
  </si>
  <si>
    <t>306.334.378-16</t>
  </si>
  <si>
    <t>MODA SHEIN</t>
  </si>
  <si>
    <t xml:space="preserve">LUCINEIA </t>
  </si>
  <si>
    <t>214.942.478-95</t>
  </si>
  <si>
    <t>265/2025</t>
  </si>
  <si>
    <t>SERIGRAFI</t>
  </si>
  <si>
    <t>MACHADO EMBALAGENS</t>
  </si>
  <si>
    <t>05.112.657/0001-64</t>
  </si>
  <si>
    <t>M.C INJETADOS</t>
  </si>
  <si>
    <t>14.299.414/0001-78</t>
  </si>
  <si>
    <t>M.R</t>
  </si>
  <si>
    <t>06.147.568/0001-16</t>
  </si>
  <si>
    <t>SINCCOMM COMP.</t>
  </si>
  <si>
    <t xml:space="preserve">MARCIA PALMILHA </t>
  </si>
  <si>
    <t>18-98824-7795</t>
  </si>
  <si>
    <t>MARCIO MODELISTA</t>
  </si>
  <si>
    <t>064.498.898-16</t>
  </si>
  <si>
    <t>MINEIROPVC</t>
  </si>
  <si>
    <t>pvcrepresentacoes@outlook.com</t>
  </si>
  <si>
    <t>MOISES INJETORA BIRIGUI</t>
  </si>
  <si>
    <t>18-997345519</t>
  </si>
  <si>
    <t>VERIFICAR OS VALES 131,16 + 41,97+</t>
  </si>
  <si>
    <t>NEIA PESPONTADEIRA</t>
  </si>
  <si>
    <t>18-996059126</t>
  </si>
  <si>
    <t>POLI QUIMICA</t>
  </si>
  <si>
    <t>TASS COMPONENTES</t>
  </si>
  <si>
    <t>18-99138-6464</t>
  </si>
  <si>
    <t>SHOPEE XUXINHAS</t>
  </si>
  <si>
    <t>RAIMA</t>
  </si>
  <si>
    <t>04.981.256/0002-69</t>
  </si>
  <si>
    <t>RAFAEL EMBORRACHADOS</t>
  </si>
  <si>
    <t>314.178.128-18</t>
  </si>
  <si>
    <t>REGIS CORTE</t>
  </si>
  <si>
    <t>51.483.042/0001-61</t>
  </si>
  <si>
    <t>SIGMA</t>
  </si>
  <si>
    <t>(18)981111932</t>
  </si>
  <si>
    <t>158.110.228-32</t>
  </si>
  <si>
    <t>W.M REPRESENTAÇÃO</t>
  </si>
  <si>
    <t>S FROES</t>
  </si>
  <si>
    <t>18-99726-7146</t>
  </si>
  <si>
    <t>ESCRITORIO CONTABIL</t>
  </si>
  <si>
    <t>TONI CARIMBO PALMILHA</t>
  </si>
  <si>
    <t>18-99718-7106</t>
  </si>
  <si>
    <t>TONHO SOLA</t>
  </si>
  <si>
    <t>18-98142-5497</t>
  </si>
  <si>
    <t>TECHOLASER</t>
  </si>
  <si>
    <t>05.978.864/0001-04</t>
  </si>
  <si>
    <t xml:space="preserve">vera bordado </t>
  </si>
  <si>
    <t>VICCAN</t>
  </si>
  <si>
    <t>46.294.903/0001-23</t>
  </si>
  <si>
    <t>VIVIANE SOLA COROADOS</t>
  </si>
  <si>
    <t>18-99649-9220</t>
  </si>
  <si>
    <t>WJ DUBLAGENS (POLI E DETINE)</t>
  </si>
  <si>
    <t>18 99621-4612</t>
  </si>
  <si>
    <t>WILLIAN facas</t>
  </si>
  <si>
    <t>330.321.978-80</t>
  </si>
  <si>
    <t>WAGNER TASS</t>
  </si>
  <si>
    <t>WS FACAS</t>
  </si>
  <si>
    <t>18-99727-9416</t>
  </si>
  <si>
    <t>banca SIMEI X MIRIAN</t>
  </si>
  <si>
    <t>SIMPLES NACIONAL(LUCINEIA)</t>
  </si>
  <si>
    <t>18-991402022</t>
  </si>
  <si>
    <t xml:space="preserve">VENILTON </t>
  </si>
  <si>
    <t xml:space="preserve">SABRINA DO PAULO SOLA TENIS </t>
  </si>
  <si>
    <t>49503,270/0001-04</t>
  </si>
  <si>
    <t>e-besen gestão</t>
  </si>
  <si>
    <t>59.449.767/0001-45</t>
  </si>
  <si>
    <t>LC COMPONENTES</t>
  </si>
  <si>
    <t>MOISES SOLA TRATORADA</t>
  </si>
  <si>
    <t>SINCCOMM COMPONENTES</t>
  </si>
  <si>
    <t>MR  FITAS</t>
  </si>
  <si>
    <t>03-04/2025</t>
  </si>
  <si>
    <t>AGUA</t>
  </si>
  <si>
    <t>COMPOFRAN</t>
  </si>
  <si>
    <t>186,10- 79,00V- 28,00 B</t>
  </si>
  <si>
    <t>CEBOLÃO EMB (JR TEOSSI)</t>
  </si>
  <si>
    <t>SINCON</t>
  </si>
  <si>
    <t>E&amp;G INJETADOS</t>
  </si>
  <si>
    <t>LINHA</t>
  </si>
  <si>
    <t>LUCIANO (COLA)</t>
  </si>
  <si>
    <t>SHOPPE COLA BASTAO</t>
  </si>
  <si>
    <t>BLING (LUCINEIA)</t>
  </si>
  <si>
    <t>BLING (CARLOS)</t>
  </si>
  <si>
    <t>S. FROES</t>
  </si>
  <si>
    <t>SALARIO IARA</t>
  </si>
  <si>
    <t>DESCONTOS DA IARA 44,90 CALÇADOS</t>
  </si>
  <si>
    <t>SHPP BRASIL</t>
  </si>
  <si>
    <t>VALE IARA</t>
  </si>
  <si>
    <t>SALARIO(CARLOS)</t>
  </si>
  <si>
    <t>RECEBIMENTOS</t>
  </si>
  <si>
    <t>CESTA BASICA</t>
  </si>
  <si>
    <t>SHPP</t>
  </si>
  <si>
    <t>CENTRAL DOS ARMARINHOS</t>
  </si>
  <si>
    <t>SIMPLES NACIONAL(CARLOS)</t>
  </si>
  <si>
    <t>SONIA</t>
  </si>
  <si>
    <t>SINDICATO BIRIGUI</t>
  </si>
  <si>
    <t xml:space="preserve"> +40,56 VERA</t>
  </si>
  <si>
    <t>3 X 344,20</t>
  </si>
  <si>
    <t>5 % DESCONTO (104,50)</t>
  </si>
  <si>
    <t>TRANSF. LUCINEIA</t>
  </si>
  <si>
    <t>EDNEIA SHOPPE CAIXA ARQUIVO</t>
  </si>
  <si>
    <t>COMBUSTIVEL</t>
  </si>
  <si>
    <t>AR TIRAS</t>
  </si>
  <si>
    <t>MUFFATO( PRODUTO LIMPEZA)</t>
  </si>
  <si>
    <t>DIVERSOS</t>
  </si>
  <si>
    <t>SIGMA PAPELARIA</t>
  </si>
  <si>
    <t>ARMAZEM DOS COMPONENTES</t>
  </si>
  <si>
    <t>5 % DESCONTO (88,00)</t>
  </si>
  <si>
    <t xml:space="preserve">INSS </t>
  </si>
  <si>
    <t>SHOPPE REVOLVER COLA QUENTE</t>
  </si>
  <si>
    <t>5 % DESCONTO (171,60)</t>
  </si>
  <si>
    <t>VENDA COMPRENSOR</t>
  </si>
  <si>
    <t>VICCAM EMBALAGEM</t>
  </si>
  <si>
    <t>MINEROS PVC</t>
  </si>
  <si>
    <t>LUCINEIA</t>
  </si>
  <si>
    <t xml:space="preserve"> + 33,44 BORRACHEIRO</t>
  </si>
  <si>
    <t>CONSERTO FIORINO</t>
  </si>
  <si>
    <t>309/2025</t>
  </si>
  <si>
    <t>ROSE PESPONTADEIRA</t>
  </si>
  <si>
    <t>ELISA  PESPONTADEIRA</t>
  </si>
  <si>
    <t>M.R FITAS</t>
  </si>
  <si>
    <t>JHS PAPELARIA</t>
  </si>
  <si>
    <t>BRC COMP.</t>
  </si>
  <si>
    <t>INTERNET FLIP</t>
  </si>
  <si>
    <t>INJETORA BIRIGUI MOISES</t>
  </si>
  <si>
    <t>FRAMESCHI EMBORRACHADO</t>
  </si>
  <si>
    <t>STUDIO DESIGN FOTOS</t>
  </si>
  <si>
    <t>BM COM E IND METAIS</t>
  </si>
  <si>
    <t>SONIA CALÇADOS</t>
  </si>
  <si>
    <t>LU EM 04/07/25</t>
  </si>
  <si>
    <t>COMPROFAN</t>
  </si>
  <si>
    <t>POSTO COMBUSTIVEL</t>
  </si>
  <si>
    <t>S.FROES</t>
  </si>
  <si>
    <t>CHICO COMPONENTES</t>
  </si>
  <si>
    <t>LUCIANO COLA PVC</t>
  </si>
  <si>
    <t>MECANICO MAQUINAS</t>
  </si>
  <si>
    <t>DESIGN &amp; METAIS</t>
  </si>
  <si>
    <t>TASS COMPONENES</t>
  </si>
  <si>
    <t>5% DESCONTO (1.775,40)</t>
  </si>
  <si>
    <t>TAXA DE LICENÇA 2025</t>
  </si>
  <si>
    <t>MURILO SUAREZ</t>
  </si>
  <si>
    <t>COMPANHIA SULAMERICAN</t>
  </si>
  <si>
    <t xml:space="preserve"> FOOTS LEANDRO PÉ COM PÉ</t>
  </si>
  <si>
    <t>SALDO MÊS ANTERIOR LUCINEIA</t>
  </si>
  <si>
    <t xml:space="preserve">SHOPEE </t>
  </si>
  <si>
    <t>L</t>
  </si>
  <si>
    <t xml:space="preserve"> LUCINEIA</t>
  </si>
  <si>
    <t>MINEIROS SOLA PVC</t>
  </si>
  <si>
    <t>2100-630-44,90=1425,10</t>
  </si>
  <si>
    <t>MC INJETADOS</t>
  </si>
  <si>
    <t>SALARIO LUCINEIA</t>
  </si>
  <si>
    <t xml:space="preserve">SALARIO GABRIEL </t>
  </si>
  <si>
    <t>SALARIO EDNEIA</t>
  </si>
  <si>
    <t>SALARIO GABRIEL</t>
  </si>
  <si>
    <t>ALUGUEL</t>
  </si>
  <si>
    <t>EDILEUZA</t>
  </si>
  <si>
    <t>PESPONTADEIRA ELIZA</t>
  </si>
  <si>
    <t>ANDERSON BORDADO</t>
  </si>
  <si>
    <r>
      <rPr>
        <sz val="11"/>
        <color rgb="FF000000"/>
        <rFont val="Arial"/>
      </rPr>
      <t>DIELI PESPONTADEIR</t>
    </r>
    <r>
      <rPr>
        <sz val="11"/>
        <color rgb="FF000000"/>
        <rFont val="Arial"/>
      </rPr>
      <t>A</t>
    </r>
  </si>
  <si>
    <t>VENILTON CORTE</t>
  </si>
  <si>
    <t>MARCIA PALMILHA</t>
  </si>
  <si>
    <t xml:space="preserve">PIX ERRADO </t>
  </si>
  <si>
    <t>1 X 344,00</t>
  </si>
  <si>
    <t xml:space="preserve">RETORNO PIX ERRADO </t>
  </si>
  <si>
    <t>MECANICO MAQUINA VIES</t>
  </si>
  <si>
    <t>COMBUSTIVEL FIORINO</t>
  </si>
  <si>
    <t>SALARIOS CARLOS</t>
  </si>
  <si>
    <t>BLING LUCINEIA</t>
  </si>
  <si>
    <t>SALDO LUCINEIA</t>
  </si>
  <si>
    <t>GILSON COLA SPRAY</t>
  </si>
  <si>
    <t>GUGU SOLA</t>
  </si>
  <si>
    <t>ESCRITORIO</t>
  </si>
  <si>
    <t xml:space="preserve">MIRIAN MOURA </t>
  </si>
  <si>
    <t xml:space="preserve">SIGMA </t>
  </si>
  <si>
    <t xml:space="preserve">MARMITA </t>
  </si>
  <si>
    <t xml:space="preserve"> CPFL ENERGIA</t>
  </si>
  <si>
    <t>DW PECAS</t>
  </si>
  <si>
    <t>VICCAMM</t>
  </si>
  <si>
    <t>MECANICO MAQUINA ZIG</t>
  </si>
  <si>
    <t>2226-630</t>
  </si>
  <si>
    <t>MUFFATO</t>
  </si>
  <si>
    <t xml:space="preserve"> 33,44 BORRACHEIRO</t>
  </si>
  <si>
    <t>SILVIA MAQUINA PESPONTO</t>
  </si>
  <si>
    <t xml:space="preserve">COMBUSTIVEL </t>
  </si>
  <si>
    <t>INSS CARLOS</t>
  </si>
  <si>
    <t xml:space="preserve">JONATHAN MONTAGEM </t>
  </si>
  <si>
    <t>COMPONENTES BRASIL(ETIQUETA TERM)</t>
  </si>
  <si>
    <t>14/062025</t>
  </si>
  <si>
    <t>COMBUSTIVEL FIORININO</t>
  </si>
  <si>
    <t>ELIZA PESPONTADEIRA</t>
  </si>
  <si>
    <t xml:space="preserve">LUCIANO COLA </t>
  </si>
  <si>
    <t>SINCCOM COMPONENTES</t>
  </si>
  <si>
    <t>MR FITAS</t>
  </si>
  <si>
    <t>COMPONENTES BRASIL</t>
  </si>
  <si>
    <t>07/08/0205</t>
  </si>
  <si>
    <t xml:space="preserve"> BM COMERCIO</t>
  </si>
  <si>
    <t>SINCCOMM</t>
  </si>
  <si>
    <t>SIMPLES NACIONAL CARLOS</t>
  </si>
  <si>
    <t>EDILEUSA  PESPONTO/WASTER</t>
  </si>
  <si>
    <t>JOSINEI(MATERIAIS INSTALAÇOES)</t>
  </si>
  <si>
    <t xml:space="preserve">CPFL </t>
  </si>
  <si>
    <t>MECANICO SANTOS DUMONT</t>
  </si>
  <si>
    <t>ELISA PESPONTADEIRA(DIFERENÇA)</t>
  </si>
  <si>
    <t>JULIO COMPRENSOR</t>
  </si>
  <si>
    <t>MINEIROS SOLA</t>
  </si>
  <si>
    <t>VITRINE ETIQUETAS</t>
  </si>
  <si>
    <t>MARIA (IARA)</t>
  </si>
  <si>
    <t>PÉ COM PÉ (CADEIRA)</t>
  </si>
  <si>
    <t>BLING CARLOS</t>
  </si>
  <si>
    <t xml:space="preserve">SALARIO CARLOS </t>
  </si>
  <si>
    <t xml:space="preserve">VIVIANE SOLA </t>
  </si>
  <si>
    <t>MILENA PEDIDO</t>
  </si>
  <si>
    <t>26,54 BORRACHARIA</t>
  </si>
  <si>
    <t xml:space="preserve">VITOR MONTAGEM </t>
  </si>
  <si>
    <t>781,60 -5%</t>
  </si>
  <si>
    <t xml:space="preserve">POLI QUIMICA </t>
  </si>
  <si>
    <t xml:space="preserve">SHOPPE </t>
  </si>
  <si>
    <t>PÉ COM PÉ(CADEIRAS)</t>
  </si>
  <si>
    <t xml:space="preserve">                            BANCO DE HORA IARA 29/04/2025 MEIO PERIODO TARDE</t>
  </si>
  <si>
    <t>BOLETO</t>
  </si>
  <si>
    <t>BRC COM DECOMPONENTES</t>
  </si>
  <si>
    <t>SINCCON</t>
  </si>
  <si>
    <t>88,50-5%</t>
  </si>
  <si>
    <t>30/04/2025 INTEGRAL</t>
  </si>
  <si>
    <t>WMC COMPONENTES</t>
  </si>
  <si>
    <t>INTERNET</t>
  </si>
  <si>
    <t>ELAINE STRASS</t>
  </si>
  <si>
    <t>22/05/2025 MEIO PERIODO TARDE</t>
  </si>
  <si>
    <t xml:space="preserve">COMPOFRAN </t>
  </si>
  <si>
    <t>MAX DIST. DE COMPONENTES</t>
  </si>
  <si>
    <t>23/05/25 MEIO PERIODO TARDE</t>
  </si>
  <si>
    <t>COMPUTADOR 2.500 12 PARC</t>
  </si>
  <si>
    <t>COMPUTADOR 45,44 9 PARC</t>
  </si>
  <si>
    <t>CONSERTO FIORINO 970 10PARC</t>
  </si>
  <si>
    <t xml:space="preserve">ELETROTEC </t>
  </si>
  <si>
    <t>28/05/2025 INTEGRAL</t>
  </si>
  <si>
    <t>28/06/25 7:00 AS 11:00</t>
  </si>
  <si>
    <t>633,60 -5%</t>
  </si>
  <si>
    <t>1002,00 -5%</t>
  </si>
  <si>
    <t>5:18 ATÉ 6:18</t>
  </si>
  <si>
    <t>89,00 - 5%</t>
  </si>
  <si>
    <t>45,00 -5%</t>
  </si>
  <si>
    <t>SHOPPE</t>
  </si>
  <si>
    <t>01/07/25 5:18 ATÉ 6:18</t>
  </si>
  <si>
    <t>RL COMERCIO E REP.</t>
  </si>
  <si>
    <t>26/08/0205</t>
  </si>
  <si>
    <t>GILSON COLA KILLING</t>
  </si>
  <si>
    <t xml:space="preserve">COMPROFRAN </t>
  </si>
  <si>
    <t>CESTA BASICA IARA</t>
  </si>
  <si>
    <t xml:space="preserve">SINCCON </t>
  </si>
  <si>
    <t>LANCHE</t>
  </si>
  <si>
    <t>SHOPPE  DIVERSOS</t>
  </si>
  <si>
    <t>TAKADA E TAKADA</t>
  </si>
  <si>
    <t>LUZANIDE GELADEIRA</t>
  </si>
  <si>
    <t>ANTONIO ESPERANCA CARRO</t>
  </si>
  <si>
    <t>528,00 -5%</t>
  </si>
  <si>
    <t>R$ 321,02</t>
  </si>
  <si>
    <t>40,80 -5%</t>
  </si>
  <si>
    <t>DELGADO AUTO PEÇAS CARRO</t>
  </si>
  <si>
    <t>SALARIOS</t>
  </si>
  <si>
    <t>MAFISIOLI BANHEIRO</t>
  </si>
  <si>
    <t>2226-668</t>
  </si>
  <si>
    <t>MUFFATO CAFÉ</t>
  </si>
  <si>
    <t>1028289/1028292</t>
  </si>
  <si>
    <t>LC COMPONNTES</t>
  </si>
  <si>
    <t>5% DESCONTO (616)</t>
  </si>
  <si>
    <t xml:space="preserve">REGIS CORTE </t>
  </si>
  <si>
    <t>INJETORA BIRIGUI</t>
  </si>
  <si>
    <t>1309,00-5%</t>
  </si>
  <si>
    <t>INJETORA BIIRGUI</t>
  </si>
  <si>
    <t>145,20+4,78</t>
  </si>
  <si>
    <t>30/08/0205</t>
  </si>
  <si>
    <t>SERIGRFI</t>
  </si>
  <si>
    <t>FALTA VALE</t>
  </si>
  <si>
    <t>72,00-5%</t>
  </si>
  <si>
    <t>63,00-5%</t>
  </si>
  <si>
    <t>FRAMESCHI(VITRINE ETIQUETAS)</t>
  </si>
  <si>
    <t>CEBOLAO EMBALAGENS</t>
  </si>
  <si>
    <t xml:space="preserve">GUGU SOLAS </t>
  </si>
  <si>
    <t>E&amp;G</t>
  </si>
  <si>
    <t>VIEIRA FORMAS</t>
  </si>
  <si>
    <t xml:space="preserve">VICCAM </t>
  </si>
  <si>
    <t>WJ DUBLAGENS</t>
  </si>
  <si>
    <t>45,32 BORRACHEIRO</t>
  </si>
  <si>
    <t>26/09/0205</t>
  </si>
  <si>
    <t>89,00-5%</t>
  </si>
  <si>
    <t>0,85 DIFERENÇA</t>
  </si>
  <si>
    <t>22/09/0205</t>
  </si>
  <si>
    <t>DONIZETE MECANICO</t>
  </si>
  <si>
    <t>547/2025</t>
  </si>
  <si>
    <t>81,00-5%</t>
  </si>
  <si>
    <t>DESIGN E METAIS</t>
  </si>
  <si>
    <t>19/08/0205</t>
  </si>
  <si>
    <t>03/10/0202</t>
  </si>
  <si>
    <t>BIOMETRA</t>
  </si>
  <si>
    <t>01/09/0205</t>
  </si>
  <si>
    <t>NOROESTE COMPONENES</t>
  </si>
  <si>
    <t xml:space="preserve">RAFAEL EMBORRACHADOS </t>
  </si>
  <si>
    <t>19/09/2025 1 rasteiras p/descontar IARA</t>
  </si>
  <si>
    <t xml:space="preserve"> NEIA PESPONTADEIRA</t>
  </si>
  <si>
    <t>ENERGIA</t>
  </si>
  <si>
    <t>VENILTO CORTE</t>
  </si>
  <si>
    <t>71,25-5%</t>
  </si>
  <si>
    <t>275-5%</t>
  </si>
  <si>
    <t>1531,50-5%</t>
  </si>
  <si>
    <t>368,50-5%</t>
  </si>
  <si>
    <t>x</t>
  </si>
  <si>
    <t xml:space="preserve">AGUA </t>
  </si>
  <si>
    <t>59,98+2,10</t>
  </si>
  <si>
    <t>SINDICATO FUNCIONARIO</t>
  </si>
  <si>
    <t>214,50-5%</t>
  </si>
  <si>
    <t>257,40-5%</t>
  </si>
  <si>
    <t>5660 -2</t>
  </si>
  <si>
    <t>329,00-5%</t>
  </si>
  <si>
    <t>ALVE COMPONENTES</t>
  </si>
  <si>
    <t>1.621,80-5%</t>
  </si>
  <si>
    <t>R$ 160,00</t>
  </si>
  <si>
    <t>FGTS FUNCIONARIO</t>
  </si>
  <si>
    <t>CERTIFICADO CARLOS</t>
  </si>
  <si>
    <t>IARA (SALARIO)</t>
  </si>
  <si>
    <t>23/09/0205</t>
  </si>
  <si>
    <t>GILSON COLA (SIDNEI)</t>
  </si>
  <si>
    <t>CEBOLAO</t>
  </si>
  <si>
    <t>1045 EM 2VEZES</t>
  </si>
  <si>
    <t>1-2 2025</t>
  </si>
  <si>
    <t xml:space="preserve">SINDICATO PATRONAL </t>
  </si>
  <si>
    <t>225,00 -5%</t>
  </si>
  <si>
    <t>07/11/0205</t>
  </si>
  <si>
    <t xml:space="preserve">                 R$1541,00</t>
  </si>
  <si>
    <t>5660 -3</t>
  </si>
  <si>
    <t>1678,20-137,20</t>
  </si>
  <si>
    <t>FOOTZ</t>
  </si>
  <si>
    <t>31/11/2025</t>
  </si>
  <si>
    <t xml:space="preserve">MC INJETADOS </t>
  </si>
  <si>
    <t>ALVEZ</t>
  </si>
  <si>
    <t xml:space="preserve">NOROESTE </t>
  </si>
  <si>
    <t xml:space="preserve">MARCIA </t>
  </si>
  <si>
    <t xml:space="preserve">NEIA PESPONTO </t>
  </si>
  <si>
    <t>NICOLAS</t>
  </si>
  <si>
    <t>SALARIOS SE PRECISAR</t>
  </si>
  <si>
    <t>VALE</t>
  </si>
  <si>
    <t>EMPRESTIMO LUCINEIA</t>
  </si>
  <si>
    <t>650/2025</t>
  </si>
  <si>
    <t>NOROESTE</t>
  </si>
  <si>
    <t xml:space="preserve">             R$31,80</t>
  </si>
  <si>
    <t xml:space="preserve">             R$720,00</t>
  </si>
  <si>
    <t xml:space="preserve">          R$142,50</t>
  </si>
  <si>
    <t>RAFAEL EMB.</t>
  </si>
  <si>
    <t>EDY,MIRIAM</t>
  </si>
  <si>
    <t>ANDRE TIRAS</t>
  </si>
  <si>
    <t xml:space="preserve">          R$339,00</t>
  </si>
  <si>
    <t xml:space="preserve">CEBOLA </t>
  </si>
  <si>
    <t>MACHADO</t>
  </si>
  <si>
    <t>HELIO INJETORA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</si>
  <si>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</si>
  <si>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ALVES INJETADOS</t>
  </si>
  <si>
    <t xml:space="preserve">                 R$324,00</t>
  </si>
  <si>
    <t>DESIGN E METAL ALINE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</si>
  <si>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</si>
  <si>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WJ JUNIOR</t>
  </si>
  <si>
    <t xml:space="preserve">TASS </t>
  </si>
  <si>
    <t>escritorio</t>
  </si>
  <si>
    <t xml:space="preserve">LU COROADOS </t>
  </si>
  <si>
    <t xml:space="preserve">SÃO FRANCISCO </t>
  </si>
  <si>
    <t xml:space="preserve">ALAN ACERTO </t>
  </si>
  <si>
    <t>ALAN 2-2</t>
  </si>
  <si>
    <t>1 PARCELA 13</t>
  </si>
  <si>
    <t xml:space="preserve">13 decimo </t>
  </si>
  <si>
    <t xml:space="preserve">IARA </t>
  </si>
  <si>
    <t>30/110/2025</t>
  </si>
  <si>
    <t>2-2 2025</t>
  </si>
  <si>
    <t xml:space="preserve">AR TIRAS </t>
  </si>
  <si>
    <t xml:space="preserve">INJETORA COROADOS </t>
  </si>
  <si>
    <t>MR GORGURAO</t>
  </si>
  <si>
    <t>11 DIAS</t>
  </si>
  <si>
    <t>NICOLAS CAUAN</t>
  </si>
  <si>
    <t>EDY</t>
  </si>
  <si>
    <t xml:space="preserve">MINEIROS PVC </t>
  </si>
  <si>
    <t xml:space="preserve">COMPONARTE </t>
  </si>
  <si>
    <t xml:space="preserve">MIRIAM EDY </t>
  </si>
  <si>
    <t>SINCOM</t>
  </si>
  <si>
    <t>ALVES COMP</t>
  </si>
  <si>
    <t>balcao</t>
  </si>
  <si>
    <t>noroeste COMPONENTES</t>
  </si>
  <si>
    <t>SERIGRAF</t>
  </si>
  <si>
    <t>ARMAZEM</t>
  </si>
  <si>
    <t>FUNERARIA</t>
  </si>
  <si>
    <t>JF CORDAO WASTER</t>
  </si>
  <si>
    <t xml:space="preserve">              R$306,00</t>
  </si>
  <si>
    <t xml:space="preserve">DESIGN METAIS ALINE </t>
  </si>
  <si>
    <t xml:space="preserve">LUCIANO UNA </t>
  </si>
  <si>
    <t xml:space="preserve">               R$259,00</t>
  </si>
  <si>
    <t xml:space="preserve">SINCOM </t>
  </si>
  <si>
    <t xml:space="preserve">BM </t>
  </si>
  <si>
    <t xml:space="preserve">              R$182,00</t>
  </si>
  <si>
    <t>ACERTO ALAN</t>
  </si>
  <si>
    <t>ALAN -1-2</t>
  </si>
  <si>
    <t>R$750,00 1-2</t>
  </si>
  <si>
    <t>SALARIO NICOLAS</t>
  </si>
  <si>
    <t>PALMI</t>
  </si>
  <si>
    <t xml:space="preserve">MARCIA  RESTANTE </t>
  </si>
  <si>
    <t>ESCRITORIO RODRIGO</t>
  </si>
  <si>
    <t>INJESOLA</t>
  </si>
  <si>
    <t xml:space="preserve">ENERGIA </t>
  </si>
  <si>
    <t>COMPOFRAM</t>
  </si>
  <si>
    <t>VENILTON</t>
  </si>
  <si>
    <t xml:space="preserve">               R$800,00</t>
  </si>
  <si>
    <t>COMPROFRAN</t>
  </si>
  <si>
    <t>CEBOLA</t>
  </si>
  <si>
    <t>03/01/0206</t>
  </si>
  <si>
    <t>EG INJETADOS HELIO</t>
  </si>
  <si>
    <t>SINCCOM</t>
  </si>
  <si>
    <t xml:space="preserve">INJETORA BIRIGUI </t>
  </si>
  <si>
    <t>MC.INJETADOS</t>
  </si>
  <si>
    <t>devolucão</t>
  </si>
  <si>
    <t>devolucçaõ</t>
  </si>
  <si>
    <t>VALE NICOLAS</t>
  </si>
  <si>
    <t>FGTS CARLOS</t>
  </si>
  <si>
    <t>ESCRITORIO ADRIANO</t>
  </si>
  <si>
    <t>DIELI PESPONTADEIR</t>
  </si>
  <si>
    <t xml:space="preserve"> </t>
  </si>
  <si>
    <t>MIRIAN - EDY</t>
  </si>
  <si>
    <t>NOROSTE</t>
  </si>
  <si>
    <t>05/02/0206</t>
  </si>
  <si>
    <t>FLIP INTERNET</t>
  </si>
  <si>
    <t>TASS</t>
  </si>
  <si>
    <t>29/02/2026</t>
  </si>
  <si>
    <t>edy</t>
  </si>
  <si>
    <t>073/26</t>
  </si>
  <si>
    <t xml:space="preserve">PVC MINEIROS </t>
  </si>
  <si>
    <t>23/03/0230</t>
  </si>
  <si>
    <t xml:space="preserve">wj junior </t>
  </si>
  <si>
    <t>noroeste</t>
  </si>
  <si>
    <t xml:space="preserve">mr </t>
  </si>
  <si>
    <t>alvez</t>
  </si>
  <si>
    <t>injetorA BIRIGUI</t>
  </si>
  <si>
    <t>RAIMA/</t>
  </si>
  <si>
    <t>ARMANDO</t>
  </si>
  <si>
    <t>COMPONARTE</t>
  </si>
  <si>
    <t xml:space="preserve">CHICO SOLA </t>
  </si>
  <si>
    <t xml:space="preserve">GILSON </t>
  </si>
  <si>
    <t>CORTE VE</t>
  </si>
  <si>
    <t xml:space="preserve">PESPONTO  </t>
  </si>
  <si>
    <t xml:space="preserve">NEIA </t>
  </si>
  <si>
    <t>CORTE RE</t>
  </si>
  <si>
    <t xml:space="preserve">REGIS </t>
  </si>
  <si>
    <t xml:space="preserve">SALARIO </t>
  </si>
  <si>
    <t xml:space="preserve">LU </t>
  </si>
  <si>
    <t>bordado</t>
  </si>
  <si>
    <t>vera /ANDERSON</t>
  </si>
  <si>
    <t>BINOCULO</t>
  </si>
  <si>
    <t>TIRA STRASS</t>
  </si>
  <si>
    <t>SACOS INTER.</t>
  </si>
  <si>
    <t>COLA  BIRK</t>
  </si>
  <si>
    <t>COMP BRASIL</t>
  </si>
  <si>
    <t xml:space="preserve">MATERIAL </t>
  </si>
  <si>
    <t>ANKLEBOOT</t>
  </si>
  <si>
    <t xml:space="preserve">CANETINHAS </t>
  </si>
  <si>
    <t xml:space="preserve">CX SONIA </t>
  </si>
  <si>
    <t xml:space="preserve">CHICO </t>
  </si>
  <si>
    <t>FGTS</t>
  </si>
  <si>
    <t>CARLOS</t>
  </si>
  <si>
    <t>RECEITA FEDERAL</t>
  </si>
  <si>
    <t>SIMPLES NACIONAL</t>
  </si>
  <si>
    <t xml:space="preserve">aluguel </t>
  </si>
  <si>
    <t xml:space="preserve">energia </t>
  </si>
  <si>
    <t>cebola</t>
  </si>
  <si>
    <t xml:space="preserve">Iara </t>
  </si>
  <si>
    <t>upseller</t>
  </si>
  <si>
    <t>banca mirian</t>
  </si>
  <si>
    <t>regis corte</t>
  </si>
  <si>
    <t xml:space="preserve">agua </t>
  </si>
  <si>
    <t>compofran</t>
  </si>
  <si>
    <t xml:space="preserve">noroeste </t>
  </si>
  <si>
    <t xml:space="preserve">lucineia </t>
  </si>
  <si>
    <t xml:space="preserve">gabriel </t>
  </si>
  <si>
    <t xml:space="preserve">lu pichus </t>
  </si>
  <si>
    <t>marcia palmilha</t>
  </si>
  <si>
    <t xml:space="preserve">compofran </t>
  </si>
  <si>
    <t xml:space="preserve">cebola </t>
  </si>
  <si>
    <t>flip</t>
  </si>
  <si>
    <t>casa sapateiro</t>
  </si>
  <si>
    <t>componarte</t>
  </si>
  <si>
    <t xml:space="preserve">imposto </t>
  </si>
  <si>
    <t>simcon</t>
  </si>
  <si>
    <t xml:space="preserve">injesola </t>
  </si>
  <si>
    <t>venilton</t>
  </si>
  <si>
    <t xml:space="preserve">wilian </t>
  </si>
  <si>
    <t>MR</t>
  </si>
  <si>
    <t xml:space="preserve">DESIGN METAIS </t>
  </si>
  <si>
    <t>rafael</t>
  </si>
  <si>
    <t>INJETORA MOISES</t>
  </si>
  <si>
    <t>183/</t>
  </si>
  <si>
    <t>serygraf</t>
  </si>
  <si>
    <t>19/06/0206</t>
  </si>
  <si>
    <t>22/05/0206</t>
  </si>
  <si>
    <t>tass</t>
  </si>
  <si>
    <t>GASOLINA</t>
  </si>
  <si>
    <t xml:space="preserve">ALVEZ INJETADOS </t>
  </si>
  <si>
    <t>VERA BORDADO</t>
  </si>
  <si>
    <t xml:space="preserve">MERCIA </t>
  </si>
  <si>
    <t xml:space="preserve">SIMEI BANCA </t>
  </si>
  <si>
    <t>ALESSANDRA ENFEITES</t>
  </si>
  <si>
    <t>POLLI JUNINHO</t>
  </si>
  <si>
    <t>FROES</t>
  </si>
  <si>
    <t>INCAL MAXX</t>
  </si>
  <si>
    <t>HELIO</t>
  </si>
  <si>
    <t>GILSON</t>
  </si>
  <si>
    <t>18/05/0206</t>
  </si>
  <si>
    <t>WJ JUNINHO</t>
  </si>
  <si>
    <t>COMPO.BRASIL</t>
  </si>
  <si>
    <t>inj.alvez</t>
  </si>
  <si>
    <t xml:space="preserve">design metais </t>
  </si>
  <si>
    <t>RAFAEL</t>
  </si>
  <si>
    <t xml:space="preserve">compra </t>
  </si>
  <si>
    <t>vales</t>
  </si>
  <si>
    <t>helio injetora</t>
  </si>
  <si>
    <t xml:space="preserve">MR </t>
  </si>
  <si>
    <t>VICAAM</t>
  </si>
  <si>
    <t>AR</t>
  </si>
  <si>
    <t>26/06//2026</t>
  </si>
  <si>
    <t>energia</t>
  </si>
  <si>
    <t>alessandra enfeites</t>
  </si>
  <si>
    <t xml:space="preserve">sigma </t>
  </si>
  <si>
    <t>sigma</t>
  </si>
  <si>
    <t>UPESSELER</t>
  </si>
  <si>
    <t>13/072026</t>
  </si>
  <si>
    <t>moises</t>
  </si>
  <si>
    <t xml:space="preserve">WILHA FACAS </t>
  </si>
  <si>
    <t>SIMPLES</t>
  </si>
  <si>
    <t>mr</t>
  </si>
  <si>
    <t>RECEITA</t>
  </si>
  <si>
    <t xml:space="preserve">ARMAZEM </t>
  </si>
  <si>
    <t xml:space="preserve">CARLOS </t>
  </si>
  <si>
    <t xml:space="preserve">25/08/2026        41913                    tass                                             25/09/2026                                                  R$ 102,00            </t>
  </si>
  <si>
    <t>ar tiras</t>
  </si>
  <si>
    <t>MOISES</t>
  </si>
  <si>
    <t>IMPOSTO - CARLOS</t>
  </si>
  <si>
    <t xml:space="preserve">rafael </t>
  </si>
  <si>
    <t>IMPOSTO - LUCINEIA</t>
  </si>
  <si>
    <t>MOISES/NOTINHA COM RESALVA</t>
  </si>
  <si>
    <t>MB</t>
  </si>
  <si>
    <t>sinccom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</si>
</sst>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R$&quot;\ #,##0.00"/>
    <numFmt numFmtId="165" formatCode="mm\-yyyy"/>
    <numFmt numFmtId="166" formatCode="[$R$ -416]#,##0.00"/>
    <numFmt numFmtId="167" formatCode="d\-m"/>
    <numFmt numFmtId="168" formatCode="mmmm/yyyy"/>
    <numFmt numFmtId="169" formatCode="dd\-mm"/>
    <numFmt numFmtId="170" formatCode="mm/yyyy"/>
    <numFmt numFmtId="171" formatCode="dd/mm/yy"/>
    <numFmt numFmtId="172" formatCode="m/yyyy"/>
    <numFmt numFmtId="173" formatCode="d/m"/>
    <numFmt numFmtId="174" formatCode="yyyy\-m"/>
    <numFmt numFmtId="175" formatCode="d/m/yyyy"/>
    <numFmt numFmtId="176" formatCode="d/m/yy"/>
    <numFmt numFmtId="177" formatCode="dd/mm"/>
  </numFmts>
  <fonts count="58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ptos Narrow"/>
    </font>
    <font>
      <sz val="11"/>
      <color rgb="FF1155CC"/>
      <name val="Arial"/>
    </font>
    <font>
      <b/>
      <sz val="9"/>
      <color theme="1"/>
      <name val="Arial"/>
    </font>
    <font>
      <sz val="11"/>
      <color rgb="FF000000"/>
      <name val="Arial"/>
    </font>
    <font>
      <b/>
      <sz val="11"/>
      <color theme="1"/>
      <name val="Aptos Narrow"/>
      <scheme val="minor"/>
    </font>
    <font>
      <b/>
      <sz val="11"/>
      <color rgb="FF1155CC"/>
      <name val="Arial"/>
    </font>
    <font>
      <sz val="11"/>
      <color rgb="FF000000"/>
      <name val="Arial"/>
    </font>
    <font>
      <sz val="11"/>
      <color rgb="FFFF0000"/>
      <name val="Aptos Narrow"/>
    </font>
    <font>
      <b/>
      <sz val="11"/>
      <color rgb="FF000000"/>
      <name val="Arial"/>
    </font>
    <font>
      <sz val="11"/>
      <color rgb="FFFF0000"/>
      <name val="Arial"/>
    </font>
    <font>
      <sz val="11"/>
      <color rgb="FFFF0000"/>
      <name val="Arial"/>
    </font>
    <font>
      <b/>
      <sz val="11"/>
      <color rgb="FF000000"/>
      <name val="Aptos Narrow"/>
    </font>
    <font>
      <sz val="11"/>
      <color rgb="FFFF0000"/>
      <name val="Aptos Narrow"/>
      <scheme val="minor"/>
    </font>
    <font>
      <sz val="11"/>
      <color rgb="FF4A86E8"/>
      <name val="Aptos Narrow"/>
      <scheme val="minor"/>
    </font>
    <font>
      <sz val="9"/>
      <color theme="1"/>
      <name val="Arial"/>
    </font>
    <font>
      <sz val="6"/>
      <color theme="1"/>
      <name val="Arial"/>
    </font>
    <font>
      <sz val="11"/>
      <color rgb="FF4A86E8"/>
      <name val="Arial"/>
    </font>
    <font>
      <sz val="11"/>
      <color rgb="FF1155CC"/>
      <name val="Arial"/>
    </font>
    <font>
      <sz val="11"/>
      <color rgb="FF1155CC"/>
      <name val="Aptos Narrow"/>
    </font>
    <font>
      <sz val="11"/>
      <color rgb="FF3C78D8"/>
      <name val="Arial"/>
    </font>
    <font>
      <sz val="11"/>
      <color rgb="FFFF9900"/>
      <name val="Arial"/>
    </font>
    <font>
      <sz val="11"/>
      <color rgb="FF1155CC"/>
      <name val="Aptos Narrow"/>
      <scheme val="minor"/>
    </font>
    <font>
      <b/>
      <sz val="11"/>
      <color rgb="FF1155CC"/>
      <name val="Aptos Narrow"/>
    </font>
    <font>
      <b/>
      <sz val="11"/>
      <color rgb="FF000000"/>
      <name val="Arial"/>
    </font>
    <font>
      <sz val="11"/>
      <color rgb="FF990000"/>
      <name val="Arial"/>
    </font>
    <font>
      <b/>
      <sz val="11"/>
      <color rgb="FF1155CC"/>
      <name val="Aptos Narrow"/>
      <scheme val="minor"/>
    </font>
    <font>
      <sz val="11"/>
      <color theme="4"/>
      <name val="Arial"/>
    </font>
    <font>
      <sz val="11"/>
      <color theme="4"/>
      <name val="Aptos Narrow"/>
      <scheme val="minor"/>
    </font>
    <font>
      <sz val="11"/>
      <color theme="4"/>
      <name val="Aptos Narrow"/>
    </font>
    <font>
      <sz val="11"/>
      <color rgb="FFCC0000"/>
      <name val="Arial"/>
    </font>
    <font>
      <sz val="11"/>
      <color rgb="FFEA9999"/>
      <name val="Arial"/>
    </font>
    <font>
      <b/>
      <sz val="11"/>
      <color rgb="FFCC0000"/>
      <name val="Arial"/>
    </font>
    <font>
      <sz val="11"/>
      <color theme="5"/>
      <name val="Arial"/>
    </font>
    <font>
      <sz val="11"/>
      <color rgb="FFE97132"/>
      <name val="Arial"/>
    </font>
    <font>
      <sz val="11"/>
      <color rgb="FF000000"/>
      <name val="Aptos Narrow"/>
      <scheme val="minor"/>
    </font>
    <font>
      <sz val="11"/>
      <color rgb="FF980000"/>
      <name val="Arial"/>
    </font>
    <font>
      <sz val="11"/>
      <color rgb="FFE06666"/>
      <name val="Arial"/>
    </font>
    <font>
      <sz val="11"/>
      <color rgb="FFDD7E6B"/>
      <name val="Arial"/>
    </font>
    <font>
      <sz val="11"/>
      <color rgb="FFE69138"/>
      <name val="Arial"/>
    </font>
    <font>
      <sz val="11"/>
      <color rgb="FFE69138"/>
      <name val="Aptos Narrow"/>
      <scheme val="minor"/>
    </font>
    <font>
      <sz val="11"/>
      <color rgb="FF3D85C6"/>
      <name val="Arial"/>
    </font>
    <font>
      <sz val="11"/>
      <color rgb="FF0B5394"/>
      <name val="Arial"/>
    </font>
    <font>
      <sz val="11"/>
      <color rgb="FF0B5394"/>
      <name val="Aptos Narrow"/>
    </font>
    <font>
      <sz val="11"/>
      <color rgb="FF85200C"/>
      <name val="Arial"/>
    </font>
    <font>
      <sz val="11"/>
      <color rgb="FFFF9900"/>
      <name val="Aptos Narrow"/>
      <scheme val="minor"/>
    </font>
    <font>
      <b/>
      <sz val="11"/>
      <color rgb="FFFF9900"/>
      <name val="Aptos Narrow"/>
      <scheme val="minor"/>
    </font>
    <font>
      <sz val="11"/>
      <color rgb="FFFF9900"/>
      <name val="Arial"/>
    </font>
    <font>
      <sz val="11"/>
      <color rgb="FFEA9999"/>
      <name val="Aptos Narrow"/>
      <scheme val="minor"/>
    </font>
    <font>
      <sz val="11"/>
      <color rgb="FF980000"/>
      <name val="Aptos Narrow"/>
      <scheme val="minor"/>
    </font>
    <font>
      <b/>
      <sz val="11"/>
      <color rgb="FF3C78D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/>
    <xf numFmtId="0" fontId="6" fillId="0" borderId="0" xfId="0" applyFont="1" applyAlignment="1">
      <alignment horizontal="center"/>
    </xf>
    <xf numFmtId="14" fontId="4" fillId="0" borderId="0" xfId="0" applyNumberFormat="1" applyFont="1" applyAlignment="1"/>
    <xf numFmtId="14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64" fontId="7" fillId="0" borderId="0" xfId="0" applyNumberFormat="1" applyFont="1" applyAlignment="1"/>
    <xf numFmtId="164" fontId="8" fillId="0" borderId="0" xfId="0" applyNumberFormat="1" applyFont="1"/>
    <xf numFmtId="165" fontId="4" fillId="0" borderId="0" xfId="0" applyNumberFormat="1" applyFont="1" applyAlignment="1"/>
    <xf numFmtId="14" fontId="9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left"/>
    </xf>
    <xf numFmtId="0" fontId="6" fillId="0" borderId="0" xfId="0" applyFont="1" applyAlignment="1"/>
    <xf numFmtId="0" fontId="10" fillId="0" borderId="0" xfId="0" applyFont="1" applyAlignment="1"/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164" fontId="11" fillId="0" borderId="0" xfId="0" applyNumberFormat="1" applyFont="1" applyAlignment="1"/>
    <xf numFmtId="166" fontId="2" fillId="0" borderId="0" xfId="0" applyNumberFormat="1" applyFont="1" applyAlignment="1">
      <alignment horizontal="left"/>
    </xf>
    <xf numFmtId="0" fontId="12" fillId="0" borderId="0" xfId="0" applyFont="1"/>
    <xf numFmtId="166" fontId="13" fillId="0" borderId="0" xfId="0" applyNumberFormat="1" applyFont="1" applyAlignment="1"/>
    <xf numFmtId="14" fontId="9" fillId="0" borderId="0" xfId="0" applyNumberFormat="1" applyFont="1" applyAlignment="1"/>
    <xf numFmtId="0" fontId="7" fillId="0" borderId="0" xfId="0" applyFont="1" applyAlignment="1">
      <alignment horizontal="left"/>
    </xf>
    <xf numFmtId="167" fontId="9" fillId="0" borderId="0" xfId="0" applyNumberFormat="1" applyFont="1" applyAlignment="1"/>
    <xf numFmtId="0" fontId="9" fillId="0" borderId="0" xfId="0" applyFont="1" applyAlignment="1"/>
    <xf numFmtId="166" fontId="3" fillId="0" borderId="0" xfId="0" applyNumberFormat="1" applyFont="1"/>
    <xf numFmtId="166" fontId="4" fillId="0" borderId="0" xfId="0" applyNumberFormat="1" applyFont="1" applyAlignment="1"/>
    <xf numFmtId="14" fontId="14" fillId="0" borderId="0" xfId="0" applyNumberFormat="1" applyFont="1" applyAlignment="1">
      <alignment horizontal="left"/>
    </xf>
    <xf numFmtId="164" fontId="15" fillId="0" borderId="0" xfId="0" applyNumberFormat="1" applyFont="1"/>
    <xf numFmtId="166" fontId="5" fillId="0" borderId="0" xfId="0" applyNumberFormat="1" applyFont="1" applyAlignment="1"/>
    <xf numFmtId="166" fontId="9" fillId="0" borderId="0" xfId="0" applyNumberFormat="1" applyFont="1" applyAlignment="1"/>
    <xf numFmtId="0" fontId="16" fillId="0" borderId="0" xfId="0" applyFont="1" applyAlignment="1"/>
    <xf numFmtId="0" fontId="17" fillId="0" borderId="0" xfId="0" applyFont="1" applyAlignment="1"/>
    <xf numFmtId="167" fontId="4" fillId="0" borderId="0" xfId="0" applyNumberFormat="1" applyFont="1" applyAlignment="1"/>
    <xf numFmtId="164" fontId="18" fillId="0" borderId="0" xfId="0" applyNumberFormat="1" applyFont="1" applyAlignment="1"/>
    <xf numFmtId="0" fontId="7" fillId="0" borderId="0" xfId="0" applyFont="1" applyAlignment="1"/>
    <xf numFmtId="168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164" fontId="2" fillId="0" borderId="0" xfId="0" applyNumberFormat="1" applyFont="1"/>
    <xf numFmtId="14" fontId="14" fillId="0" borderId="0" xfId="0" applyNumberFormat="1" applyFont="1" applyAlignment="1">
      <alignment horizontal="right"/>
    </xf>
    <xf numFmtId="164" fontId="19" fillId="0" borderId="0" xfId="0" applyNumberFormat="1" applyFont="1"/>
    <xf numFmtId="0" fontId="4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14" fontId="14" fillId="0" borderId="0" xfId="0" applyNumberFormat="1" applyFont="1" applyAlignment="1"/>
    <xf numFmtId="166" fontId="16" fillId="0" borderId="0" xfId="0" applyNumberFormat="1" applyFont="1" applyAlignment="1"/>
    <xf numFmtId="166" fontId="17" fillId="0" borderId="0" xfId="0" applyNumberFormat="1" applyFont="1" applyAlignment="1"/>
    <xf numFmtId="169" fontId="4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2" fillId="0" borderId="0" xfId="0" applyFont="1" applyAlignment="1"/>
    <xf numFmtId="166" fontId="23" fillId="0" borderId="0" xfId="0" applyNumberFormat="1" applyFont="1" applyAlignment="1">
      <alignment horizontal="left"/>
    </xf>
    <xf numFmtId="0" fontId="24" fillId="0" borderId="0" xfId="0" applyFont="1" applyAlignment="1"/>
    <xf numFmtId="167" fontId="7" fillId="0" borderId="0" xfId="0" applyNumberFormat="1" applyFont="1" applyAlignment="1">
      <alignment horizontal="left"/>
    </xf>
    <xf numFmtId="168" fontId="4" fillId="0" borderId="0" xfId="0" applyNumberFormat="1" applyFont="1" applyAlignment="1"/>
    <xf numFmtId="14" fontId="9" fillId="0" borderId="0" xfId="0" applyNumberFormat="1" applyFont="1" applyAlignment="1">
      <alignment horizontal="left"/>
    </xf>
    <xf numFmtId="167" fontId="25" fillId="0" borderId="0" xfId="0" applyNumberFormat="1" applyFont="1" applyAlignment="1">
      <alignment horizontal="left"/>
    </xf>
    <xf numFmtId="164" fontId="26" fillId="0" borderId="0" xfId="0" applyNumberFormat="1" applyFont="1"/>
    <xf numFmtId="166" fontId="27" fillId="0" borderId="0" xfId="0" applyNumberFormat="1" applyFont="1" applyAlignment="1">
      <alignment horizontal="right"/>
    </xf>
    <xf numFmtId="0" fontId="18" fillId="0" borderId="0" xfId="0" applyFont="1" applyAlignment="1"/>
    <xf numFmtId="0" fontId="13" fillId="0" borderId="0" xfId="0" applyFont="1" applyAlignment="1"/>
    <xf numFmtId="166" fontId="28" fillId="0" borderId="0" xfId="0" applyNumberFormat="1" applyFont="1" applyAlignment="1"/>
    <xf numFmtId="0" fontId="28" fillId="0" borderId="0" xfId="0" applyFont="1" applyAlignment="1"/>
    <xf numFmtId="166" fontId="3" fillId="0" borderId="0" xfId="0" applyNumberFormat="1" applyFont="1" applyAlignment="1">
      <alignment horizontal="left"/>
    </xf>
    <xf numFmtId="167" fontId="9" fillId="0" borderId="0" xfId="0" applyNumberFormat="1" applyFont="1" applyAlignment="1">
      <alignment horizontal="left"/>
    </xf>
    <xf numFmtId="166" fontId="9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166" fontId="29" fillId="0" borderId="0" xfId="0" applyNumberFormat="1" applyFont="1"/>
    <xf numFmtId="0" fontId="14" fillId="0" borderId="0" xfId="0" applyFont="1" applyAlignment="1"/>
    <xf numFmtId="164" fontId="25" fillId="0" borderId="0" xfId="0" applyNumberFormat="1" applyFont="1" applyAlignment="1"/>
    <xf numFmtId="164" fontId="30" fillId="0" borderId="0" xfId="0" applyNumberFormat="1" applyFont="1"/>
    <xf numFmtId="170" fontId="4" fillId="0" borderId="0" xfId="0" applyNumberFormat="1" applyFont="1" applyAlignment="1"/>
    <xf numFmtId="0" fontId="29" fillId="0" borderId="0" xfId="0" applyFont="1"/>
    <xf numFmtId="164" fontId="6" fillId="0" borderId="0" xfId="0" applyNumberFormat="1" applyFont="1" applyAlignment="1"/>
    <xf numFmtId="166" fontId="11" fillId="0" borderId="0" xfId="0" applyNumberFormat="1" applyFont="1" applyAlignment="1"/>
    <xf numFmtId="166" fontId="14" fillId="0" borderId="0" xfId="0" applyNumberFormat="1" applyFont="1" applyAlignment="1"/>
    <xf numFmtId="167" fontId="4" fillId="0" borderId="0" xfId="0" applyNumberFormat="1" applyFont="1" applyAlignment="1">
      <alignment horizontal="right"/>
    </xf>
    <xf numFmtId="164" fontId="31" fillId="0" borderId="0" xfId="0" applyNumberFormat="1" applyFont="1" applyAlignment="1"/>
    <xf numFmtId="167" fontId="14" fillId="0" borderId="0" xfId="0" applyNumberFormat="1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left"/>
    </xf>
    <xf numFmtId="14" fontId="32" fillId="0" borderId="0" xfId="0" applyNumberFormat="1" applyFont="1" applyAlignment="1"/>
    <xf numFmtId="167" fontId="32" fillId="0" borderId="0" xfId="0" applyNumberFormat="1" applyFont="1" applyAlignment="1"/>
    <xf numFmtId="0" fontId="32" fillId="0" borderId="0" xfId="0" applyFont="1" applyAlignment="1">
      <alignment horizontal="left"/>
    </xf>
    <xf numFmtId="166" fontId="32" fillId="0" borderId="0" xfId="0" applyNumberFormat="1" applyFont="1" applyAlignment="1"/>
    <xf numFmtId="166" fontId="33" fillId="0" borderId="0" xfId="0" applyNumberFormat="1" applyFont="1"/>
    <xf numFmtId="14" fontId="34" fillId="0" borderId="0" xfId="0" applyNumberFormat="1" applyFont="1" applyAlignment="1"/>
    <xf numFmtId="0" fontId="34" fillId="0" borderId="0" xfId="0" applyFont="1" applyAlignment="1"/>
    <xf numFmtId="0" fontId="34" fillId="0" borderId="0" xfId="0" applyFont="1" applyAlignment="1">
      <alignment horizontal="left"/>
    </xf>
    <xf numFmtId="166" fontId="34" fillId="0" borderId="0" xfId="0" applyNumberFormat="1" applyFont="1" applyAlignment="1"/>
    <xf numFmtId="0" fontId="35" fillId="0" borderId="0" xfId="0" applyFont="1"/>
    <xf numFmtId="164" fontId="36" fillId="0" borderId="0" xfId="0" applyNumberFormat="1" applyFont="1"/>
    <xf numFmtId="0" fontId="7" fillId="0" borderId="0" xfId="0" applyFont="1" applyAlignment="1"/>
    <xf numFmtId="14" fontId="28" fillId="0" borderId="0" xfId="0" applyNumberFormat="1" applyFont="1" applyAlignment="1"/>
    <xf numFmtId="0" fontId="15" fillId="0" borderId="0" xfId="0" applyFont="1" applyAlignment="1"/>
    <xf numFmtId="0" fontId="1" fillId="0" borderId="0" xfId="0" applyFont="1" applyAlignment="1"/>
    <xf numFmtId="0" fontId="37" fillId="0" borderId="0" xfId="0" applyFont="1" applyAlignment="1"/>
    <xf numFmtId="166" fontId="38" fillId="0" borderId="0" xfId="0" applyNumberFormat="1" applyFont="1" applyAlignment="1"/>
    <xf numFmtId="14" fontId="37" fillId="0" borderId="0" xfId="0" applyNumberFormat="1" applyFont="1" applyAlignment="1"/>
    <xf numFmtId="166" fontId="39" fillId="0" borderId="0" xfId="0" applyNumberFormat="1" applyFont="1" applyAlignment="1"/>
    <xf numFmtId="0" fontId="14" fillId="0" borderId="0" xfId="0" applyFont="1" applyAlignment="1">
      <alignment horizontal="left"/>
    </xf>
    <xf numFmtId="166" fontId="40" fillId="0" borderId="0" xfId="0" applyNumberFormat="1" applyFont="1" applyAlignment="1"/>
    <xf numFmtId="0" fontId="14" fillId="0" borderId="0" xfId="0" applyFont="1" applyAlignment="1">
      <alignment horizontal="right"/>
    </xf>
    <xf numFmtId="166" fontId="41" fillId="0" borderId="0" xfId="0" applyNumberFormat="1" applyFont="1" applyAlignment="1"/>
    <xf numFmtId="0" fontId="42" fillId="0" borderId="0" xfId="0" applyFont="1"/>
    <xf numFmtId="166" fontId="43" fillId="0" borderId="0" xfId="0" applyNumberFormat="1" applyFont="1" applyAlignment="1"/>
    <xf numFmtId="170" fontId="14" fillId="0" borderId="0" xfId="0" applyNumberFormat="1" applyFont="1" applyAlignment="1"/>
    <xf numFmtId="14" fontId="44" fillId="0" borderId="0" xfId="0" applyNumberFormat="1" applyFont="1" applyAlignment="1"/>
    <xf numFmtId="166" fontId="7" fillId="0" borderId="0" xfId="0" applyNumberFormat="1" applyFont="1" applyAlignment="1">
      <alignment horizontal="right"/>
    </xf>
    <xf numFmtId="0" fontId="44" fillId="0" borderId="0" xfId="0" applyFont="1" applyAlignment="1"/>
    <xf numFmtId="0" fontId="45" fillId="0" borderId="0" xfId="0" applyFont="1" applyAlignment="1"/>
    <xf numFmtId="14" fontId="7" fillId="0" borderId="0" xfId="0" applyNumberFormat="1" applyFont="1" applyAlignment="1"/>
    <xf numFmtId="166" fontId="45" fillId="0" borderId="0" xfId="0" applyNumberFormat="1" applyFont="1" applyAlignment="1"/>
    <xf numFmtId="14" fontId="45" fillId="0" borderId="0" xfId="0" applyNumberFormat="1" applyFont="1" applyAlignment="1"/>
    <xf numFmtId="166" fontId="44" fillId="0" borderId="0" xfId="0" applyNumberFormat="1" applyFont="1" applyAlignment="1"/>
    <xf numFmtId="0" fontId="18" fillId="0" borderId="0" xfId="0" applyFont="1" applyAlignment="1"/>
    <xf numFmtId="0" fontId="15" fillId="0" borderId="0" xfId="0" applyFont="1" applyAlignment="1"/>
    <xf numFmtId="0" fontId="46" fillId="0" borderId="0" xfId="0" applyFont="1" applyAlignment="1"/>
    <xf numFmtId="0" fontId="47" fillId="0" borderId="0" xfId="0" applyFont="1"/>
    <xf numFmtId="166" fontId="47" fillId="0" borderId="0" xfId="0" applyNumberFormat="1" applyFont="1"/>
    <xf numFmtId="166" fontId="46" fillId="0" borderId="0" xfId="0" applyNumberFormat="1" applyFont="1" applyAlignment="1"/>
    <xf numFmtId="14" fontId="48" fillId="0" borderId="0" xfId="0" applyNumberFormat="1" applyFont="1" applyAlignment="1">
      <alignment horizontal="right"/>
    </xf>
    <xf numFmtId="0" fontId="49" fillId="0" borderId="0" xfId="0" applyFont="1" applyAlignment="1"/>
    <xf numFmtId="166" fontId="12" fillId="0" borderId="0" xfId="0" applyNumberFormat="1" applyFont="1"/>
    <xf numFmtId="171" fontId="49" fillId="0" borderId="0" xfId="0" applyNumberFormat="1" applyFont="1" applyAlignment="1"/>
    <xf numFmtId="0" fontId="50" fillId="0" borderId="0" xfId="0" applyFont="1" applyAlignment="1"/>
    <xf numFmtId="166" fontId="51" fillId="0" borderId="0" xfId="0" applyNumberFormat="1" applyFont="1" applyAlignment="1"/>
    <xf numFmtId="166" fontId="52" fillId="0" borderId="0" xfId="0" applyNumberFormat="1" applyFont="1"/>
    <xf numFmtId="0" fontId="53" fillId="0" borderId="0" xfId="0" applyFont="1"/>
    <xf numFmtId="172" fontId="14" fillId="0" borderId="0" xfId="0" applyNumberFormat="1" applyFont="1" applyAlignment="1"/>
    <xf numFmtId="172" fontId="4" fillId="0" borderId="0" xfId="0" applyNumberFormat="1" applyFont="1" applyAlignment="1"/>
    <xf numFmtId="14" fontId="38" fillId="0" borderId="0" xfId="0" applyNumberFormat="1" applyFont="1" applyAlignment="1"/>
    <xf numFmtId="0" fontId="38" fillId="0" borderId="0" xfId="0" applyFont="1" applyAlignment="1"/>
    <xf numFmtId="0" fontId="38" fillId="0" borderId="0" xfId="0" applyFont="1" applyAlignment="1">
      <alignment horizontal="left"/>
    </xf>
    <xf numFmtId="0" fontId="7" fillId="0" borderId="0" xfId="0" applyFont="1" applyAlignment="1"/>
    <xf numFmtId="14" fontId="7" fillId="0" borderId="0" xfId="0" applyNumberFormat="1" applyFont="1" applyAlignment="1">
      <alignment horizontal="right"/>
    </xf>
    <xf numFmtId="166" fontId="7" fillId="0" borderId="0" xfId="0" applyNumberFormat="1" applyFont="1" applyAlignment="1"/>
    <xf numFmtId="166" fontId="54" fillId="0" borderId="0" xfId="0" applyNumberFormat="1" applyFont="1" applyAlignment="1">
      <alignment horizontal="right"/>
    </xf>
    <xf numFmtId="170" fontId="14" fillId="0" borderId="0" xfId="0" applyNumberFormat="1" applyFont="1" applyAlignment="1">
      <alignment horizontal="right"/>
    </xf>
    <xf numFmtId="173" fontId="14" fillId="0" borderId="0" xfId="0" applyNumberFormat="1" applyFont="1" applyAlignment="1">
      <alignment horizontal="right"/>
    </xf>
    <xf numFmtId="166" fontId="7" fillId="0" borderId="0" xfId="0" applyNumberFormat="1" applyFont="1" applyAlignment="1"/>
    <xf numFmtId="166" fontId="37" fillId="0" borderId="0" xfId="0" applyNumberFormat="1" applyFont="1" applyAlignment="1"/>
    <xf numFmtId="166" fontId="55" fillId="0" borderId="0" xfId="0" applyNumberFormat="1" applyFont="1"/>
    <xf numFmtId="174" fontId="4" fillId="0" borderId="0" xfId="0" applyNumberFormat="1" applyFont="1" applyAlignment="1"/>
    <xf numFmtId="0" fontId="43" fillId="0" borderId="0" xfId="0" applyFont="1" applyAlignment="1"/>
    <xf numFmtId="175" fontId="4" fillId="0" borderId="0" xfId="0" applyNumberFormat="1" applyFont="1" applyAlignment="1"/>
    <xf numFmtId="175" fontId="44" fillId="0" borderId="0" xfId="0" applyNumberFormat="1" applyFont="1" applyAlignment="1"/>
    <xf numFmtId="175" fontId="14" fillId="0" borderId="0" xfId="0" applyNumberFormat="1" applyFont="1" applyAlignment="1"/>
    <xf numFmtId="14" fontId="43" fillId="0" borderId="0" xfId="0" applyNumberFormat="1" applyFont="1" applyAlignment="1"/>
    <xf numFmtId="166" fontId="4" fillId="0" borderId="0" xfId="0" applyNumberFormat="1" applyFont="1" applyAlignment="1">
      <alignment horizontal="right"/>
    </xf>
    <xf numFmtId="175" fontId="43" fillId="0" borderId="0" xfId="0" applyNumberFormat="1" applyFont="1" applyAlignment="1"/>
    <xf numFmtId="172" fontId="7" fillId="0" borderId="0" xfId="0" applyNumberFormat="1" applyFont="1" applyAlignment="1"/>
    <xf numFmtId="166" fontId="7" fillId="0" borderId="0" xfId="0" applyNumberFormat="1" applyFont="1" applyAlignment="1">
      <alignment horizontal="right"/>
    </xf>
    <xf numFmtId="0" fontId="56" fillId="0" borderId="0" xfId="0" applyFont="1"/>
    <xf numFmtId="175" fontId="24" fillId="0" borderId="0" xfId="0" applyNumberFormat="1" applyFont="1" applyAlignment="1"/>
    <xf numFmtId="167" fontId="24" fillId="0" borderId="0" xfId="0" applyNumberFormat="1" applyFont="1" applyAlignment="1"/>
    <xf numFmtId="0" fontId="24" fillId="0" borderId="0" xfId="0" applyFont="1" applyAlignment="1">
      <alignment horizontal="right"/>
    </xf>
    <xf numFmtId="166" fontId="21" fillId="0" borderId="0" xfId="0" applyNumberFormat="1" applyFont="1"/>
    <xf numFmtId="175" fontId="4" fillId="0" borderId="0" xfId="0" applyNumberFormat="1" applyFont="1" applyAlignment="1">
      <alignment horizontal="right"/>
    </xf>
    <xf numFmtId="166" fontId="24" fillId="0" borderId="0" xfId="0" applyNumberFormat="1" applyFont="1" applyAlignment="1"/>
    <xf numFmtId="176" fontId="4" fillId="0" borderId="0" xfId="0" applyNumberFormat="1" applyFont="1" applyAlignment="1"/>
    <xf numFmtId="166" fontId="57" fillId="0" borderId="0" xfId="0" applyNumberFormat="1" applyFont="1"/>
    <xf numFmtId="14" fontId="17" fillId="0" borderId="0" xfId="0" applyNumberFormat="1" applyFont="1" applyAlignment="1"/>
    <xf numFmtId="175" fontId="17" fillId="0" borderId="0" xfId="0" applyNumberFormat="1" applyFont="1" applyAlignment="1"/>
    <xf numFmtId="166" fontId="16" fillId="0" borderId="0" xfId="0" applyNumberFormat="1" applyFont="1" applyAlignment="1">
      <alignment horizontal="right"/>
    </xf>
    <xf numFmtId="166" fontId="42" fillId="0" borderId="0" xfId="0" applyNumberFormat="1" applyFont="1"/>
    <xf numFmtId="166" fontId="4" fillId="0" borderId="0" xfId="0" applyNumberFormat="1" applyFont="1" applyAlignment="1">
      <alignment horizontal="center"/>
    </xf>
    <xf numFmtId="170" fontId="4" fillId="0" borderId="0" xfId="0" applyNumberFormat="1" applyFont="1" applyAlignment="1">
      <alignment horizontal="right"/>
    </xf>
    <xf numFmtId="171" fontId="7" fillId="0" borderId="0" xfId="0" applyNumberFormat="1" applyFont="1" applyAlignment="1"/>
    <xf numFmtId="14" fontId="7" fillId="0" borderId="0" xfId="0" applyNumberFormat="1" applyFont="1" applyAlignment="1">
      <alignment horizontal="right"/>
    </xf>
    <xf numFmtId="171" fontId="4" fillId="0" borderId="0" xfId="0" applyNumberFormat="1" applyFont="1" applyAlignment="1"/>
    <xf numFmtId="14" fontId="11" fillId="0" borderId="0" xfId="0" applyNumberFormat="1" applyFont="1" applyAlignment="1"/>
    <xf numFmtId="172" fontId="11" fillId="0" borderId="0" xfId="0" applyNumberFormat="1" applyFont="1" applyAlignment="1"/>
    <xf numFmtId="0" fontId="11" fillId="0" borderId="0" xfId="0" applyFont="1" applyAlignment="1"/>
    <xf numFmtId="14" fontId="11" fillId="0" borderId="0" xfId="0" applyNumberFormat="1" applyFont="1" applyAlignment="1">
      <alignment horizontal="right"/>
    </xf>
    <xf numFmtId="166" fontId="11" fillId="0" borderId="0" xfId="0" applyNumberFormat="1" applyFont="1" applyAlignment="1"/>
    <xf numFmtId="166" fontId="11" fillId="0" borderId="0" xfId="0" applyNumberFormat="1" applyFont="1" applyAlignment="1">
      <alignment horizontal="right"/>
    </xf>
    <xf numFmtId="171" fontId="14" fillId="0" borderId="0" xfId="0" applyNumberFormat="1" applyFont="1" applyAlignment="1"/>
    <xf numFmtId="177" fontId="14" fillId="0" borderId="0" xfId="0" applyNumberFormat="1" applyFont="1" applyAlignment="1"/>
    <xf numFmtId="173" fontId="14" fillId="0" borderId="0" xfId="0" applyNumberFormat="1" applyFont="1" applyAlignment="1"/>
    <xf numFmtId="177" fontId="4" fillId="0" borderId="0" xfId="0" applyNumberFormat="1" applyFont="1" applyAlignment="1"/>
    <xf numFmtId="173" fontId="4" fillId="0" borderId="0" xfId="0" applyNumberFormat="1" applyFont="1" applyAlignment="1"/>
    <xf numFmtId="14" fontId="1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1"/>
  <sheetViews>
    <sheetView topLeftCell="A36" workbookViewId="0"/>
  </sheetViews>
  <sheetFormatPr defaultColWidth="12.5703125" defaultRowHeight="15" customHeight="1" x14ac:dyDescent="0.25"/>
  <cols>
    <col min="1" max="1" width="39.85546875" customWidth="1"/>
    <col min="2" max="2" width="29.42578125" customWidth="1"/>
    <col min="3" max="3" width="24.7109375" customWidth="1"/>
    <col min="4" max="4" width="18.5703125" customWidth="1"/>
    <col min="5" max="26" width="8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3" t="s">
        <v>6</v>
      </c>
      <c r="B2" s="4" t="s">
        <v>9</v>
      </c>
    </row>
    <row r="3" spans="1:4" x14ac:dyDescent="0.25">
      <c r="A3" s="4" t="s">
        <v>13</v>
      </c>
      <c r="B3" s="4" t="s">
        <v>15</v>
      </c>
    </row>
    <row r="4" spans="1:4" x14ac:dyDescent="0.25">
      <c r="A4" s="4" t="s">
        <v>17</v>
      </c>
      <c r="B4" s="3" t="s">
        <v>18</v>
      </c>
    </row>
    <row r="5" spans="1:4" x14ac:dyDescent="0.25">
      <c r="A5" s="4" t="s">
        <v>20</v>
      </c>
      <c r="B5" s="4" t="s">
        <v>21</v>
      </c>
    </row>
    <row r="6" spans="1:4" x14ac:dyDescent="0.25">
      <c r="A6" s="4" t="s">
        <v>22</v>
      </c>
      <c r="B6" s="3" t="s">
        <v>24</v>
      </c>
    </row>
    <row r="7" spans="1:4" x14ac:dyDescent="0.25">
      <c r="A7" s="4" t="s">
        <v>25</v>
      </c>
      <c r="B7" s="4" t="s">
        <v>26</v>
      </c>
    </row>
    <row r="8" spans="1:4" x14ac:dyDescent="0.25">
      <c r="A8" s="4" t="s">
        <v>27</v>
      </c>
      <c r="B8" s="4" t="s">
        <v>28</v>
      </c>
    </row>
    <row r="9" spans="1:4" x14ac:dyDescent="0.25">
      <c r="A9" s="3" t="s">
        <v>29</v>
      </c>
      <c r="B9" s="3" t="s">
        <v>30</v>
      </c>
    </row>
    <row r="10" spans="1:4" x14ac:dyDescent="0.25">
      <c r="A10" s="4" t="s">
        <v>31</v>
      </c>
      <c r="B10" s="3" t="s">
        <v>32</v>
      </c>
    </row>
    <row r="11" spans="1:4" x14ac:dyDescent="0.25">
      <c r="A11" s="4" t="s">
        <v>33</v>
      </c>
      <c r="B11" s="4" t="s">
        <v>34</v>
      </c>
    </row>
    <row r="12" spans="1:4" x14ac:dyDescent="0.25">
      <c r="A12" s="12" t="s">
        <v>36</v>
      </c>
      <c r="B12" s="3" t="s">
        <v>38</v>
      </c>
    </row>
    <row r="13" spans="1:4" x14ac:dyDescent="0.25">
      <c r="A13" s="4" t="s">
        <v>39</v>
      </c>
      <c r="B13" s="4" t="s">
        <v>40</v>
      </c>
    </row>
    <row r="14" spans="1:4" x14ac:dyDescent="0.25">
      <c r="A14" s="4" t="s">
        <v>41</v>
      </c>
      <c r="B14" s="4" t="s">
        <v>42</v>
      </c>
    </row>
    <row r="15" spans="1:4" x14ac:dyDescent="0.25">
      <c r="A15" s="3" t="s">
        <v>44</v>
      </c>
      <c r="B15" s="3" t="s">
        <v>45</v>
      </c>
    </row>
    <row r="16" spans="1:4" x14ac:dyDescent="0.25">
      <c r="A16" s="3" t="s">
        <v>46</v>
      </c>
      <c r="B16" s="3" t="s">
        <v>47</v>
      </c>
    </row>
    <row r="17" spans="1:2" x14ac:dyDescent="0.25">
      <c r="A17" s="4" t="s">
        <v>48</v>
      </c>
      <c r="B17" s="4" t="s">
        <v>49</v>
      </c>
    </row>
    <row r="18" spans="1:2" x14ac:dyDescent="0.25">
      <c r="A18" s="4" t="s">
        <v>51</v>
      </c>
      <c r="B18" s="4" t="s">
        <v>52</v>
      </c>
    </row>
    <row r="19" spans="1:2" x14ac:dyDescent="0.25">
      <c r="A19" s="4" t="s">
        <v>54</v>
      </c>
      <c r="B19" s="4" t="s">
        <v>55</v>
      </c>
    </row>
    <row r="20" spans="1:2" x14ac:dyDescent="0.25">
      <c r="A20" s="3" t="s">
        <v>56</v>
      </c>
      <c r="B20" s="3" t="s">
        <v>57</v>
      </c>
    </row>
    <row r="21" spans="1:2" x14ac:dyDescent="0.25">
      <c r="A21" s="3" t="s">
        <v>59</v>
      </c>
      <c r="B21" s="3" t="s">
        <v>60</v>
      </c>
    </row>
    <row r="22" spans="1:2" x14ac:dyDescent="0.25">
      <c r="A22" s="4" t="s">
        <v>61</v>
      </c>
      <c r="B22" s="4" t="s">
        <v>62</v>
      </c>
    </row>
    <row r="23" spans="1:2" x14ac:dyDescent="0.25">
      <c r="A23" s="3" t="s">
        <v>64</v>
      </c>
      <c r="B23" s="3" t="s">
        <v>65</v>
      </c>
    </row>
    <row r="24" spans="1:2" x14ac:dyDescent="0.25">
      <c r="A24" s="19" t="s">
        <v>66</v>
      </c>
      <c r="B24" s="20" t="s">
        <v>68</v>
      </c>
    </row>
    <row r="25" spans="1:2" x14ac:dyDescent="0.25">
      <c r="A25" s="12" t="s">
        <v>69</v>
      </c>
      <c r="B25" s="3" t="s">
        <v>70</v>
      </c>
    </row>
    <row r="26" spans="1:2" x14ac:dyDescent="0.25">
      <c r="A26" s="3" t="s">
        <v>71</v>
      </c>
      <c r="B26" s="3" t="s">
        <v>73</v>
      </c>
    </row>
    <row r="27" spans="1:2" x14ac:dyDescent="0.25">
      <c r="A27" s="4" t="s">
        <v>74</v>
      </c>
      <c r="B27" s="4" t="s">
        <v>75</v>
      </c>
    </row>
    <row r="28" spans="1:2" x14ac:dyDescent="0.25">
      <c r="A28" s="3" t="s">
        <v>76</v>
      </c>
      <c r="B28" s="3" t="s">
        <v>78</v>
      </c>
    </row>
    <row r="29" spans="1:2" x14ac:dyDescent="0.25">
      <c r="A29" s="27" t="s">
        <v>80</v>
      </c>
      <c r="B29" s="27" t="s">
        <v>82</v>
      </c>
    </row>
    <row r="30" spans="1:2" x14ac:dyDescent="0.25">
      <c r="A30" s="3" t="s">
        <v>83</v>
      </c>
      <c r="B30" s="3" t="s">
        <v>84</v>
      </c>
    </row>
    <row r="31" spans="1:2" ht="15.75" customHeight="1" x14ac:dyDescent="0.25">
      <c r="A31" s="3" t="s">
        <v>85</v>
      </c>
      <c r="B31" s="3" t="s">
        <v>86</v>
      </c>
    </row>
    <row r="32" spans="1:2" ht="15.75" customHeight="1" x14ac:dyDescent="0.25">
      <c r="A32" s="3" t="s">
        <v>87</v>
      </c>
      <c r="B32" s="3" t="s">
        <v>88</v>
      </c>
    </row>
    <row r="33" spans="1:3" ht="15.75" customHeight="1" x14ac:dyDescent="0.25">
      <c r="A33" s="3" t="s">
        <v>90</v>
      </c>
      <c r="B33" s="3" t="s">
        <v>91</v>
      </c>
    </row>
    <row r="34" spans="1:3" ht="15.75" customHeight="1" x14ac:dyDescent="0.25">
      <c r="A34" s="5" t="s">
        <v>93</v>
      </c>
      <c r="B34" s="5" t="s">
        <v>94</v>
      </c>
    </row>
    <row r="35" spans="1:3" ht="15.75" customHeight="1" x14ac:dyDescent="0.25">
      <c r="A35" s="4" t="s">
        <v>97</v>
      </c>
      <c r="B35" s="4" t="s">
        <v>98</v>
      </c>
    </row>
    <row r="36" spans="1:3" ht="15.75" customHeight="1" x14ac:dyDescent="0.25">
      <c r="A36" s="3" t="s">
        <v>99</v>
      </c>
      <c r="B36" s="3" t="s">
        <v>100</v>
      </c>
    </row>
    <row r="37" spans="1:3" ht="15.75" customHeight="1" x14ac:dyDescent="0.25">
      <c r="A37" s="3" t="s">
        <v>101</v>
      </c>
      <c r="B37" s="3" t="s">
        <v>102</v>
      </c>
    </row>
    <row r="38" spans="1:3" ht="15.75" customHeight="1" x14ac:dyDescent="0.25">
      <c r="A38" s="4" t="s">
        <v>104</v>
      </c>
      <c r="B38" s="3" t="s">
        <v>105</v>
      </c>
    </row>
    <row r="39" spans="1:3" ht="15.75" customHeight="1" x14ac:dyDescent="0.25">
      <c r="A39" s="3" t="s">
        <v>106</v>
      </c>
      <c r="B39" s="3" t="s">
        <v>107</v>
      </c>
    </row>
    <row r="40" spans="1:3" ht="15.75" customHeight="1" x14ac:dyDescent="0.25">
      <c r="A40" s="4" t="s">
        <v>108</v>
      </c>
      <c r="B40" s="4" t="s">
        <v>109</v>
      </c>
    </row>
    <row r="41" spans="1:3" ht="15.75" customHeight="1" x14ac:dyDescent="0.25">
      <c r="A41" s="4" t="s">
        <v>110</v>
      </c>
      <c r="B41" s="39" t="s">
        <v>111</v>
      </c>
      <c r="C41" s="4"/>
    </row>
    <row r="42" spans="1:3" ht="15.75" customHeight="1" x14ac:dyDescent="0.25">
      <c r="A42" s="4" t="s">
        <v>113</v>
      </c>
      <c r="B42" s="4">
        <v>18996802852</v>
      </c>
    </row>
    <row r="43" spans="1:3" ht="15.75" customHeight="1" x14ac:dyDescent="0.25">
      <c r="A43" s="4" t="s">
        <v>89</v>
      </c>
      <c r="B43" s="4" t="s">
        <v>114</v>
      </c>
    </row>
    <row r="44" spans="1:3" ht="15.75" customHeight="1" x14ac:dyDescent="0.25">
      <c r="A44" s="4" t="s">
        <v>115</v>
      </c>
      <c r="B44" s="4" t="s">
        <v>117</v>
      </c>
    </row>
    <row r="45" spans="1:3" ht="15.75" customHeight="1" x14ac:dyDescent="0.25">
      <c r="A45" s="4" t="s">
        <v>119</v>
      </c>
      <c r="B45" s="3" t="s">
        <v>120</v>
      </c>
    </row>
    <row r="46" spans="1:3" ht="15.75" customHeight="1" x14ac:dyDescent="0.25">
      <c r="A46" s="4" t="s">
        <v>121</v>
      </c>
      <c r="B46" s="3" t="s">
        <v>122</v>
      </c>
    </row>
    <row r="47" spans="1:3" ht="15.75" customHeight="1" x14ac:dyDescent="0.25">
      <c r="A47" s="3" t="s">
        <v>123</v>
      </c>
      <c r="B47" s="3" t="s">
        <v>124</v>
      </c>
    </row>
    <row r="48" spans="1:3" ht="15.75" customHeight="1" x14ac:dyDescent="0.25">
      <c r="A48" s="4" t="s">
        <v>125</v>
      </c>
      <c r="B48" s="4" t="s">
        <v>126</v>
      </c>
    </row>
    <row r="49" spans="1:2" ht="15.75" customHeight="1" x14ac:dyDescent="0.25">
      <c r="A49" s="3" t="s">
        <v>96</v>
      </c>
      <c r="B49" s="3" t="s">
        <v>127</v>
      </c>
    </row>
    <row r="50" spans="1:2" ht="15.75" customHeight="1" x14ac:dyDescent="0.25">
      <c r="A50" s="4" t="s">
        <v>129</v>
      </c>
      <c r="B50" s="4" t="s">
        <v>130</v>
      </c>
    </row>
    <row r="51" spans="1:2" ht="15.75" customHeight="1" x14ac:dyDescent="0.25">
      <c r="A51" s="4" t="s">
        <v>132</v>
      </c>
      <c r="B51" s="4" t="s">
        <v>133</v>
      </c>
    </row>
    <row r="52" spans="1:2" ht="15.75" customHeight="1" x14ac:dyDescent="0.25">
      <c r="A52" s="4" t="s">
        <v>134</v>
      </c>
      <c r="B52" s="4" t="s">
        <v>135</v>
      </c>
    </row>
    <row r="53" spans="1:2" ht="15.75" customHeight="1" x14ac:dyDescent="0.25">
      <c r="A53" s="3" t="s">
        <v>136</v>
      </c>
      <c r="B53" s="3" t="s">
        <v>137</v>
      </c>
    </row>
    <row r="54" spans="1:2" ht="15.75" customHeight="1" x14ac:dyDescent="0.25">
      <c r="A54" s="4" t="s">
        <v>138</v>
      </c>
      <c r="B54" s="4">
        <v>5409706897</v>
      </c>
    </row>
    <row r="55" spans="1:2" ht="15.75" customHeight="1" x14ac:dyDescent="0.25">
      <c r="A55" s="3" t="s">
        <v>139</v>
      </c>
      <c r="B55" s="3" t="s">
        <v>140</v>
      </c>
    </row>
    <row r="56" spans="1:2" ht="15.75" customHeight="1" x14ac:dyDescent="0.25">
      <c r="A56" s="4" t="s">
        <v>141</v>
      </c>
      <c r="B56" s="4" t="s">
        <v>142</v>
      </c>
    </row>
    <row r="57" spans="1:2" ht="15.75" customHeight="1" x14ac:dyDescent="0.25">
      <c r="A57" s="4" t="s">
        <v>143</v>
      </c>
      <c r="B57" s="4" t="s">
        <v>144</v>
      </c>
    </row>
    <row r="58" spans="1:2" ht="15.75" customHeight="1" x14ac:dyDescent="0.25">
      <c r="A58" s="4" t="s">
        <v>145</v>
      </c>
      <c r="B58" s="3" t="s">
        <v>146</v>
      </c>
    </row>
    <row r="59" spans="1:2" ht="15.75" customHeight="1" x14ac:dyDescent="0.25">
      <c r="A59" s="4" t="s">
        <v>147</v>
      </c>
      <c r="B59" s="4" t="s">
        <v>78</v>
      </c>
    </row>
    <row r="60" spans="1:2" ht="15.75" customHeight="1" x14ac:dyDescent="0.25">
      <c r="A60" s="4" t="s">
        <v>148</v>
      </c>
      <c r="B60" s="4" t="s">
        <v>149</v>
      </c>
    </row>
    <row r="61" spans="1:2" ht="15.75" customHeight="1" x14ac:dyDescent="0.25">
      <c r="A61" s="4"/>
      <c r="B61" s="4"/>
    </row>
    <row r="62" spans="1:2" ht="15.75" customHeight="1" x14ac:dyDescent="0.25">
      <c r="A62" s="4" t="s">
        <v>150</v>
      </c>
      <c r="B62" s="4" t="s">
        <v>152</v>
      </c>
    </row>
    <row r="63" spans="1:2" ht="15.75" customHeight="1" x14ac:dyDescent="0.25">
      <c r="A63" s="4" t="s">
        <v>153</v>
      </c>
      <c r="B63" s="4">
        <v>6597986890</v>
      </c>
    </row>
    <row r="64" spans="1:2" ht="15.75" customHeight="1" x14ac:dyDescent="0.25">
      <c r="A64" s="4" t="s">
        <v>154</v>
      </c>
      <c r="B64" s="4" t="s">
        <v>155</v>
      </c>
    </row>
    <row r="65" spans="1:2" ht="15.75" customHeight="1" x14ac:dyDescent="0.25">
      <c r="A65" s="4" t="s">
        <v>156</v>
      </c>
      <c r="B65" s="4" t="s">
        <v>157</v>
      </c>
    </row>
    <row r="66" spans="1:2" ht="15.75" customHeight="1" x14ac:dyDescent="0.25"/>
    <row r="67" spans="1:2" ht="15.75" customHeight="1" x14ac:dyDescent="0.25"/>
    <row r="68" spans="1:2" ht="15.75" customHeight="1" x14ac:dyDescent="0.25"/>
    <row r="69" spans="1:2" ht="15.75" customHeight="1" x14ac:dyDescent="0.25"/>
    <row r="70" spans="1:2" ht="15.75" customHeight="1" x14ac:dyDescent="0.25"/>
    <row r="71" spans="1:2" ht="15.75" customHeight="1" x14ac:dyDescent="0.25"/>
    <row r="72" spans="1:2" ht="15.75" customHeight="1" x14ac:dyDescent="0.25"/>
    <row r="73" spans="1:2" ht="15.75" customHeight="1" x14ac:dyDescent="0.25"/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 x14ac:dyDescent="0.25"/>
  <cols>
    <col min="1" max="1" width="15.28515625" customWidth="1"/>
    <col min="2" max="2" width="15" customWidth="1"/>
    <col min="3" max="3" width="25.5703125" customWidth="1"/>
    <col min="4" max="4" width="15.28515625" customWidth="1"/>
    <col min="5" max="5" width="15.5703125" customWidth="1"/>
    <col min="6" max="6" width="16.28515625" customWidth="1"/>
    <col min="7" max="7" width="14.85546875" customWidth="1"/>
    <col min="8" max="8" width="19.140625" customWidth="1"/>
    <col min="9" max="26" width="8.5703125" customWidth="1"/>
  </cols>
  <sheetData>
    <row r="1" spans="1:8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12</v>
      </c>
      <c r="G1" s="2" t="s">
        <v>14</v>
      </c>
      <c r="H1" s="6"/>
    </row>
    <row r="2" spans="1:8" x14ac:dyDescent="0.25">
      <c r="A2" s="8">
        <v>45766</v>
      </c>
      <c r="B2" s="10">
        <v>6036448</v>
      </c>
      <c r="C2" s="3" t="s">
        <v>35</v>
      </c>
      <c r="D2" s="8">
        <v>45766</v>
      </c>
      <c r="E2" s="13">
        <v>180.2</v>
      </c>
      <c r="F2" s="14"/>
      <c r="G2" s="3" t="s">
        <v>43</v>
      </c>
    </row>
    <row r="3" spans="1:8" x14ac:dyDescent="0.25">
      <c r="A3" s="8">
        <v>45769</v>
      </c>
      <c r="B3" s="16">
        <v>45717</v>
      </c>
      <c r="C3" s="3" t="s">
        <v>53</v>
      </c>
      <c r="D3" s="8">
        <v>45769</v>
      </c>
      <c r="E3" s="13">
        <v>1003.76</v>
      </c>
      <c r="F3" s="14"/>
      <c r="G3" s="3" t="s">
        <v>58</v>
      </c>
    </row>
    <row r="4" spans="1:8" x14ac:dyDescent="0.25">
      <c r="A4" s="8">
        <v>45771</v>
      </c>
      <c r="B4" s="10"/>
      <c r="C4" s="3" t="s">
        <v>63</v>
      </c>
      <c r="D4" s="8">
        <v>45771</v>
      </c>
      <c r="E4" s="13">
        <v>54</v>
      </c>
      <c r="F4" s="13"/>
      <c r="G4" s="3" t="s">
        <v>58</v>
      </c>
    </row>
    <row r="5" spans="1:8" x14ac:dyDescent="0.25">
      <c r="A5" s="8">
        <v>45777</v>
      </c>
      <c r="B5" s="21">
        <v>24156</v>
      </c>
      <c r="C5" s="3" t="s">
        <v>72</v>
      </c>
      <c r="D5" s="8">
        <v>45777</v>
      </c>
      <c r="E5" s="13">
        <v>60</v>
      </c>
      <c r="F5" s="13"/>
      <c r="G5" s="3" t="s">
        <v>43</v>
      </c>
    </row>
    <row r="6" spans="1:8" x14ac:dyDescent="0.25">
      <c r="A6" s="8">
        <v>45777</v>
      </c>
      <c r="B6" s="10"/>
      <c r="C6" s="3" t="s">
        <v>79</v>
      </c>
      <c r="D6" s="8">
        <v>45777</v>
      </c>
      <c r="E6" s="13">
        <v>252</v>
      </c>
      <c r="F6" s="13"/>
      <c r="G6" s="3" t="s">
        <v>43</v>
      </c>
    </row>
    <row r="7" spans="1:8" x14ac:dyDescent="0.25">
      <c r="A7" s="8">
        <v>45777</v>
      </c>
      <c r="B7" s="16">
        <v>45748</v>
      </c>
      <c r="C7" s="4" t="s">
        <v>81</v>
      </c>
      <c r="D7" s="8">
        <v>45777</v>
      </c>
      <c r="E7" s="4">
        <v>1264.68</v>
      </c>
      <c r="F7" s="13"/>
    </row>
    <row r="8" spans="1:8" x14ac:dyDescent="0.25">
      <c r="F8" s="13"/>
    </row>
    <row r="9" spans="1:8" x14ac:dyDescent="0.25">
      <c r="F9" s="13"/>
    </row>
    <row r="10" spans="1:8" x14ac:dyDescent="0.25">
      <c r="F10" s="13"/>
    </row>
    <row r="11" spans="1:8" x14ac:dyDescent="0.25">
      <c r="D11" s="21"/>
      <c r="E11" s="48">
        <f t="shared" ref="E11:F11" si="0">SUM(E2:E10)</f>
        <v>2814.6400000000003</v>
      </c>
      <c r="F11" s="48">
        <f t="shared" si="0"/>
        <v>0</v>
      </c>
    </row>
    <row r="13" spans="1:8" x14ac:dyDescent="0.25">
      <c r="A13" s="8">
        <v>45762</v>
      </c>
      <c r="B13" s="10">
        <v>961606</v>
      </c>
      <c r="C13" s="3" t="s">
        <v>158</v>
      </c>
      <c r="E13" s="14">
        <v>77.69</v>
      </c>
      <c r="F13" s="13"/>
    </row>
    <row r="14" spans="1:8" x14ac:dyDescent="0.25">
      <c r="A14" s="58"/>
      <c r="B14" s="10"/>
      <c r="C14" s="3" t="s">
        <v>164</v>
      </c>
      <c r="E14" s="13">
        <v>55.8</v>
      </c>
      <c r="F14" s="13"/>
    </row>
    <row r="15" spans="1:8" x14ac:dyDescent="0.25">
      <c r="A15" s="58"/>
      <c r="B15" s="30"/>
      <c r="C15" s="3" t="s">
        <v>164</v>
      </c>
      <c r="E15" s="13">
        <v>77.8</v>
      </c>
      <c r="F15" s="13"/>
    </row>
    <row r="16" spans="1:8" x14ac:dyDescent="0.25">
      <c r="A16" s="58"/>
      <c r="B16" s="10"/>
      <c r="C16" s="3" t="s">
        <v>167</v>
      </c>
      <c r="E16" s="13">
        <v>252.32</v>
      </c>
      <c r="F16" s="13"/>
    </row>
    <row r="17" spans="1:8" x14ac:dyDescent="0.25">
      <c r="A17" s="58"/>
      <c r="B17" s="10"/>
      <c r="C17" s="3" t="s">
        <v>169</v>
      </c>
      <c r="E17" s="13">
        <v>150</v>
      </c>
      <c r="F17" s="13"/>
    </row>
    <row r="18" spans="1:8" x14ac:dyDescent="0.25">
      <c r="A18" s="58"/>
      <c r="B18" s="10"/>
      <c r="C18" s="3" t="s">
        <v>87</v>
      </c>
      <c r="E18" s="13">
        <v>285</v>
      </c>
      <c r="F18" s="13"/>
    </row>
    <row r="19" spans="1:8" x14ac:dyDescent="0.25">
      <c r="E19" s="13"/>
      <c r="F19" s="13"/>
    </row>
    <row r="20" spans="1:8" x14ac:dyDescent="0.25">
      <c r="E20" s="13"/>
      <c r="F20" s="13"/>
    </row>
    <row r="21" spans="1:8" ht="15.75" customHeight="1" x14ac:dyDescent="0.25">
      <c r="E21" s="13"/>
      <c r="F21" s="13"/>
    </row>
    <row r="22" spans="1:8" ht="15.75" customHeight="1" x14ac:dyDescent="0.25">
      <c r="E22" s="13"/>
      <c r="F22" s="13"/>
    </row>
    <row r="23" spans="1:8" ht="15.75" customHeight="1" x14ac:dyDescent="0.25">
      <c r="E23" s="13"/>
      <c r="F23" s="13"/>
    </row>
    <row r="24" spans="1:8" ht="15.75" customHeight="1" x14ac:dyDescent="0.25">
      <c r="E24" s="13"/>
      <c r="F24" s="13"/>
    </row>
    <row r="25" spans="1:8" ht="15.75" customHeight="1" x14ac:dyDescent="0.25">
      <c r="E25" s="13"/>
      <c r="F25" s="13"/>
    </row>
    <row r="26" spans="1:8" ht="15.75" customHeight="1" x14ac:dyDescent="0.25">
      <c r="F26" s="13"/>
    </row>
    <row r="27" spans="1:8" ht="15.75" customHeight="1" x14ac:dyDescent="0.25">
      <c r="E27" s="48">
        <f>SUM(E13:E26)</f>
        <v>898.61</v>
      </c>
      <c r="F27" s="48"/>
      <c r="H27" s="13">
        <f>SUM(E11:G27)</f>
        <v>4611.8600000000006</v>
      </c>
    </row>
    <row r="28" spans="1:8" ht="15.75" customHeight="1" x14ac:dyDescent="0.25"/>
    <row r="29" spans="1:8" ht="15.75" customHeight="1" x14ac:dyDescent="0.25">
      <c r="A29" s="8"/>
      <c r="C29" s="69" t="s">
        <v>180</v>
      </c>
    </row>
    <row r="30" spans="1:8" ht="15.75" customHeight="1" x14ac:dyDescent="0.25">
      <c r="A30" s="8">
        <v>45385</v>
      </c>
      <c r="B30" s="41">
        <v>45658</v>
      </c>
      <c r="C30" s="4" t="s">
        <v>182</v>
      </c>
      <c r="E30" s="34">
        <v>3100</v>
      </c>
    </row>
    <row r="31" spans="1:8" ht="15.75" customHeight="1" x14ac:dyDescent="0.25">
      <c r="A31" s="8">
        <v>45754</v>
      </c>
      <c r="B31" s="41">
        <v>45658</v>
      </c>
      <c r="C31" s="4" t="s">
        <v>92</v>
      </c>
      <c r="E31" s="34">
        <v>2202.2800000000002</v>
      </c>
    </row>
    <row r="32" spans="1:8" ht="15.75" customHeight="1" x14ac:dyDescent="0.25">
      <c r="A32" s="8">
        <v>45756</v>
      </c>
      <c r="B32" s="41">
        <v>45658</v>
      </c>
      <c r="C32" s="4" t="s">
        <v>185</v>
      </c>
      <c r="E32" s="34">
        <v>9212.5</v>
      </c>
    </row>
    <row r="33" spans="1:5" ht="15.75" customHeight="1" x14ac:dyDescent="0.25">
      <c r="A33" s="8">
        <v>45761</v>
      </c>
      <c r="B33" s="41">
        <v>45690</v>
      </c>
      <c r="C33" s="4" t="s">
        <v>92</v>
      </c>
      <c r="E33" s="34">
        <v>1719.05</v>
      </c>
    </row>
    <row r="34" spans="1:5" ht="15.75" customHeight="1" x14ac:dyDescent="0.25">
      <c r="A34" s="8">
        <v>45769</v>
      </c>
      <c r="B34" s="41">
        <v>45719</v>
      </c>
      <c r="C34" s="4" t="s">
        <v>92</v>
      </c>
      <c r="E34" s="34">
        <v>1483.14</v>
      </c>
    </row>
    <row r="35" spans="1:5" ht="15.75" customHeight="1" x14ac:dyDescent="0.25">
      <c r="A35" s="8">
        <v>45771</v>
      </c>
      <c r="B35" s="41">
        <v>45690</v>
      </c>
      <c r="C35" s="4" t="s">
        <v>182</v>
      </c>
      <c r="E35" s="34">
        <v>2732.61</v>
      </c>
    </row>
    <row r="36" spans="1:5" ht="15.75" customHeight="1" x14ac:dyDescent="0.25">
      <c r="A36" s="8">
        <v>45772</v>
      </c>
      <c r="B36" s="41">
        <v>45658</v>
      </c>
      <c r="C36" s="4" t="s">
        <v>190</v>
      </c>
      <c r="E36" s="34">
        <v>2700</v>
      </c>
    </row>
    <row r="37" spans="1:5" ht="15.75" customHeight="1" x14ac:dyDescent="0.25">
      <c r="A37" s="8">
        <v>45776</v>
      </c>
      <c r="B37" s="41">
        <v>45751</v>
      </c>
      <c r="C37" s="4" t="s">
        <v>92</v>
      </c>
      <c r="E37" s="34">
        <v>1658.65</v>
      </c>
    </row>
    <row r="38" spans="1:5" ht="15.75" customHeight="1" x14ac:dyDescent="0.25">
      <c r="E38" s="33"/>
    </row>
    <row r="39" spans="1:5" ht="15.75" customHeight="1" x14ac:dyDescent="0.25">
      <c r="E39" s="77">
        <f>SUM(E30:E38)</f>
        <v>24808.230000000003</v>
      </c>
    </row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061"/>
  <sheetViews>
    <sheetView workbookViewId="0"/>
  </sheetViews>
  <sheetFormatPr defaultColWidth="12.5703125" defaultRowHeight="15" customHeight="1" x14ac:dyDescent="0.25"/>
  <cols>
    <col min="1" max="1" width="12.42578125" customWidth="1"/>
    <col min="2" max="2" width="15.5703125" customWidth="1"/>
    <col min="3" max="3" width="27.85546875" customWidth="1"/>
    <col min="4" max="4" width="12.42578125" customWidth="1"/>
    <col min="5" max="5" width="16.28515625" customWidth="1"/>
    <col min="6" max="6" width="16.140625" hidden="1" customWidth="1"/>
    <col min="7" max="7" width="16.5703125" hidden="1" customWidth="1"/>
    <col min="8" max="8" width="15.140625" customWidth="1"/>
    <col min="9" max="9" width="15.5703125" customWidth="1"/>
    <col min="10" max="10" width="18.140625" customWidth="1"/>
    <col min="11" max="27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16</v>
      </c>
      <c r="I1" s="7" t="s">
        <v>19</v>
      </c>
    </row>
    <row r="2" spans="1:9" x14ac:dyDescent="0.25">
      <c r="A2" s="9">
        <v>45761</v>
      </c>
      <c r="B2" s="11">
        <v>23243</v>
      </c>
      <c r="C2" s="3" t="s">
        <v>37</v>
      </c>
      <c r="D2" s="9">
        <v>45790</v>
      </c>
      <c r="E2" s="14">
        <v>71.25</v>
      </c>
      <c r="F2" s="15"/>
      <c r="H2" s="4" t="s">
        <v>50</v>
      </c>
      <c r="I2" s="18"/>
    </row>
    <row r="3" spans="1:9" x14ac:dyDescent="0.25">
      <c r="A3" s="9">
        <v>45762</v>
      </c>
      <c r="B3" s="11">
        <v>1369</v>
      </c>
      <c r="C3" s="3" t="s">
        <v>67</v>
      </c>
      <c r="D3" s="9">
        <v>45790</v>
      </c>
      <c r="E3" s="14">
        <v>215.4</v>
      </c>
      <c r="F3" s="15"/>
      <c r="I3" s="24"/>
    </row>
    <row r="4" spans="1:9" x14ac:dyDescent="0.25">
      <c r="A4" s="9">
        <v>45762</v>
      </c>
      <c r="B4" s="11">
        <v>1370</v>
      </c>
      <c r="C4" s="3" t="s">
        <v>67</v>
      </c>
      <c r="D4" s="9">
        <v>45790</v>
      </c>
      <c r="E4" s="14">
        <v>1537.58</v>
      </c>
      <c r="F4" s="15"/>
      <c r="I4" s="26"/>
    </row>
    <row r="5" spans="1:9" x14ac:dyDescent="0.25">
      <c r="A5" s="9">
        <v>45762</v>
      </c>
      <c r="B5" s="11">
        <v>23307</v>
      </c>
      <c r="C5" s="3" t="s">
        <v>37</v>
      </c>
      <c r="D5" s="9">
        <v>45790</v>
      </c>
      <c r="E5" s="14">
        <v>1568.44</v>
      </c>
      <c r="F5" s="15"/>
      <c r="H5" s="4" t="s">
        <v>50</v>
      </c>
      <c r="I5" s="26"/>
    </row>
    <row r="6" spans="1:9" x14ac:dyDescent="0.25">
      <c r="A6" s="9">
        <v>45764</v>
      </c>
      <c r="B6" s="30">
        <v>17211</v>
      </c>
      <c r="C6" s="4" t="s">
        <v>89</v>
      </c>
      <c r="D6" s="9">
        <v>45790</v>
      </c>
      <c r="E6" s="14">
        <v>147</v>
      </c>
      <c r="F6" s="25"/>
      <c r="I6" s="18"/>
    </row>
    <row r="7" spans="1:9" x14ac:dyDescent="0.25">
      <c r="A7" s="9">
        <v>45770</v>
      </c>
      <c r="B7" s="10" t="s">
        <v>95</v>
      </c>
      <c r="C7" s="3" t="s">
        <v>96</v>
      </c>
      <c r="D7" s="35">
        <v>45797</v>
      </c>
      <c r="E7" s="25">
        <v>266</v>
      </c>
      <c r="F7" s="36"/>
      <c r="I7" s="24"/>
    </row>
    <row r="8" spans="1:9" x14ac:dyDescent="0.25">
      <c r="A8" s="9">
        <v>45769</v>
      </c>
      <c r="B8" s="11">
        <v>1424</v>
      </c>
      <c r="C8" s="3" t="s">
        <v>67</v>
      </c>
      <c r="D8" s="9">
        <v>45797</v>
      </c>
      <c r="E8" s="14">
        <v>37.729999999999997</v>
      </c>
      <c r="F8" s="36"/>
      <c r="I8" s="24"/>
    </row>
    <row r="9" spans="1:9" x14ac:dyDescent="0.25">
      <c r="A9" s="9">
        <v>45770</v>
      </c>
      <c r="B9" s="11">
        <v>1440</v>
      </c>
      <c r="C9" s="3" t="s">
        <v>67</v>
      </c>
      <c r="D9" s="9">
        <v>45797</v>
      </c>
      <c r="E9" s="14">
        <v>269</v>
      </c>
      <c r="F9" s="36"/>
      <c r="I9" s="24"/>
    </row>
    <row r="10" spans="1:9" x14ac:dyDescent="0.25">
      <c r="A10" s="9">
        <v>45771</v>
      </c>
      <c r="B10" s="11">
        <v>23734</v>
      </c>
      <c r="C10" s="3" t="s">
        <v>37</v>
      </c>
      <c r="D10" s="9">
        <v>45801</v>
      </c>
      <c r="E10" s="14">
        <v>1263.98</v>
      </c>
      <c r="F10" s="36"/>
      <c r="H10" s="4" t="s">
        <v>50</v>
      </c>
      <c r="I10" s="24"/>
    </row>
    <row r="11" spans="1:9" x14ac:dyDescent="0.25">
      <c r="A11" s="9">
        <v>45775</v>
      </c>
      <c r="B11" s="11">
        <v>37647</v>
      </c>
      <c r="C11" s="3" t="s">
        <v>116</v>
      </c>
      <c r="D11" s="9">
        <v>45805</v>
      </c>
      <c r="E11" s="14">
        <v>204</v>
      </c>
      <c r="F11" s="42"/>
      <c r="I11" s="24"/>
    </row>
    <row r="12" spans="1:9" x14ac:dyDescent="0.25">
      <c r="A12" s="9">
        <v>45775</v>
      </c>
      <c r="B12" s="11">
        <v>37649</v>
      </c>
      <c r="C12" s="3" t="s">
        <v>116</v>
      </c>
      <c r="D12" s="9">
        <v>45805</v>
      </c>
      <c r="E12" s="14">
        <v>119</v>
      </c>
      <c r="F12" s="36"/>
      <c r="I12" s="24"/>
    </row>
    <row r="13" spans="1:9" x14ac:dyDescent="0.25">
      <c r="A13" s="9">
        <v>45776</v>
      </c>
      <c r="B13" s="11">
        <v>106</v>
      </c>
      <c r="C13" s="3" t="s">
        <v>67</v>
      </c>
      <c r="D13" s="9">
        <v>45797</v>
      </c>
      <c r="E13" s="14">
        <v>191.4</v>
      </c>
      <c r="F13" s="36"/>
      <c r="I13" s="24"/>
    </row>
    <row r="14" spans="1:9" x14ac:dyDescent="0.25">
      <c r="A14" s="9">
        <v>45777</v>
      </c>
      <c r="B14" s="44">
        <v>45748</v>
      </c>
      <c r="C14" s="4" t="s">
        <v>131</v>
      </c>
      <c r="D14" s="9">
        <v>45785</v>
      </c>
      <c r="E14" s="14">
        <v>550</v>
      </c>
      <c r="F14" s="25"/>
      <c r="I14" s="46"/>
    </row>
    <row r="15" spans="1:9" x14ac:dyDescent="0.25">
      <c r="A15" s="9">
        <v>45772</v>
      </c>
      <c r="B15" s="30">
        <v>17433</v>
      </c>
      <c r="C15" s="11" t="s">
        <v>89</v>
      </c>
      <c r="D15" s="9">
        <v>45802</v>
      </c>
      <c r="E15" s="14">
        <v>42</v>
      </c>
      <c r="F15" s="36"/>
      <c r="I15" s="46"/>
    </row>
    <row r="16" spans="1:9" x14ac:dyDescent="0.25">
      <c r="A16" s="9">
        <v>45775</v>
      </c>
      <c r="B16" s="10">
        <v>21352</v>
      </c>
      <c r="C16" s="11" t="s">
        <v>119</v>
      </c>
      <c r="D16" s="9">
        <v>45805</v>
      </c>
      <c r="E16" s="14">
        <v>266.39999999999998</v>
      </c>
      <c r="F16" s="36"/>
      <c r="I16" s="46"/>
    </row>
    <row r="17" spans="1:9" x14ac:dyDescent="0.25">
      <c r="A17" s="9">
        <v>45775</v>
      </c>
      <c r="B17" s="10">
        <v>21345</v>
      </c>
      <c r="C17" s="11" t="s">
        <v>119</v>
      </c>
      <c r="D17" s="9">
        <v>45805</v>
      </c>
      <c r="E17" s="14">
        <v>384.8</v>
      </c>
      <c r="F17" s="36"/>
      <c r="I17" s="46"/>
    </row>
    <row r="18" spans="1:9" x14ac:dyDescent="0.25">
      <c r="A18" s="9">
        <v>45777</v>
      </c>
      <c r="B18" s="10">
        <v>17580</v>
      </c>
      <c r="C18" s="11" t="s">
        <v>89</v>
      </c>
      <c r="D18" s="9">
        <v>45807</v>
      </c>
      <c r="E18" s="14">
        <v>126</v>
      </c>
      <c r="F18" s="15"/>
      <c r="I18" s="46"/>
    </row>
    <row r="19" spans="1:9" x14ac:dyDescent="0.25">
      <c r="A19" s="9">
        <v>45777</v>
      </c>
      <c r="B19" s="44">
        <v>45748</v>
      </c>
      <c r="C19" s="51" t="s">
        <v>151</v>
      </c>
      <c r="D19" s="35">
        <v>45797</v>
      </c>
      <c r="E19" s="25">
        <v>76.900000000000006</v>
      </c>
      <c r="F19" s="42"/>
      <c r="G19" s="52"/>
      <c r="I19" s="46"/>
    </row>
    <row r="20" spans="1:9" x14ac:dyDescent="0.25">
      <c r="A20" s="9">
        <v>45777</v>
      </c>
      <c r="B20" s="51">
        <v>1</v>
      </c>
      <c r="C20" s="51" t="s">
        <v>159</v>
      </c>
      <c r="D20" s="9">
        <v>45789</v>
      </c>
      <c r="E20" s="25">
        <v>1000</v>
      </c>
      <c r="F20" s="14"/>
      <c r="H20" s="4"/>
      <c r="I20" s="46"/>
    </row>
    <row r="21" spans="1:9" x14ac:dyDescent="0.25">
      <c r="A21" s="9">
        <v>45777</v>
      </c>
      <c r="B21" s="51">
        <v>1</v>
      </c>
      <c r="C21" s="51" t="s">
        <v>159</v>
      </c>
      <c r="D21" s="9">
        <v>45802</v>
      </c>
      <c r="E21" s="25">
        <v>1000</v>
      </c>
      <c r="F21" s="13"/>
      <c r="I21" s="46"/>
    </row>
    <row r="22" spans="1:9" x14ac:dyDescent="0.25">
      <c r="A22" s="9">
        <v>45782</v>
      </c>
      <c r="B22" s="51">
        <v>114546</v>
      </c>
      <c r="C22" s="51" t="s">
        <v>160</v>
      </c>
      <c r="D22" s="9">
        <v>45782</v>
      </c>
      <c r="E22" s="25">
        <v>124.15</v>
      </c>
      <c r="F22" s="13"/>
      <c r="I22" s="46"/>
    </row>
    <row r="23" spans="1:9" x14ac:dyDescent="0.25">
      <c r="A23" s="9">
        <v>45782</v>
      </c>
      <c r="B23" s="57">
        <v>45658</v>
      </c>
      <c r="C23" s="51" t="s">
        <v>123</v>
      </c>
      <c r="D23" s="9">
        <v>45782</v>
      </c>
      <c r="E23" s="25">
        <v>284</v>
      </c>
      <c r="F23" s="13"/>
      <c r="I23" s="46"/>
    </row>
    <row r="24" spans="1:9" x14ac:dyDescent="0.25">
      <c r="A24" s="9">
        <v>45782</v>
      </c>
      <c r="B24" s="51" t="s">
        <v>162</v>
      </c>
      <c r="C24" s="4" t="s">
        <v>163</v>
      </c>
      <c r="D24" s="9">
        <v>45782</v>
      </c>
      <c r="E24" s="25">
        <v>158.1</v>
      </c>
      <c r="F24" s="13"/>
      <c r="H24" s="59" t="s">
        <v>165</v>
      </c>
      <c r="I24" s="60"/>
    </row>
    <row r="25" spans="1:9" x14ac:dyDescent="0.25">
      <c r="A25" s="9">
        <v>45783</v>
      </c>
      <c r="B25" s="30">
        <v>40582</v>
      </c>
      <c r="C25" s="51" t="s">
        <v>166</v>
      </c>
      <c r="D25" s="9">
        <v>45783</v>
      </c>
      <c r="E25" s="25">
        <v>172</v>
      </c>
      <c r="F25" s="13"/>
      <c r="I25" s="46"/>
    </row>
    <row r="26" spans="1:9" x14ac:dyDescent="0.25">
      <c r="A26" s="9">
        <v>45783</v>
      </c>
      <c r="B26" s="62">
        <v>45658</v>
      </c>
      <c r="C26" s="51" t="s">
        <v>170</v>
      </c>
      <c r="D26" s="9">
        <v>45783</v>
      </c>
      <c r="E26" s="14">
        <v>240</v>
      </c>
      <c r="F26" s="13"/>
      <c r="I26" s="46"/>
    </row>
    <row r="27" spans="1:9" x14ac:dyDescent="0.25">
      <c r="A27" s="9">
        <v>45783</v>
      </c>
      <c r="B27" s="62">
        <v>45658</v>
      </c>
      <c r="C27" s="51" t="s">
        <v>171</v>
      </c>
      <c r="D27" s="9">
        <v>45783</v>
      </c>
      <c r="E27" s="14">
        <v>37.46</v>
      </c>
      <c r="F27" s="13"/>
      <c r="I27" s="46"/>
    </row>
    <row r="28" spans="1:9" x14ac:dyDescent="0.25">
      <c r="A28" s="9">
        <v>45783</v>
      </c>
      <c r="B28" s="62">
        <v>45996</v>
      </c>
      <c r="C28" s="51" t="s">
        <v>172</v>
      </c>
      <c r="D28" s="9">
        <v>45785</v>
      </c>
      <c r="E28" s="14">
        <v>110</v>
      </c>
      <c r="F28" s="42"/>
      <c r="I28" s="46"/>
    </row>
    <row r="29" spans="1:9" x14ac:dyDescent="0.25">
      <c r="A29" s="9">
        <v>45783</v>
      </c>
      <c r="B29" s="62">
        <v>45996</v>
      </c>
      <c r="C29" s="51" t="s">
        <v>173</v>
      </c>
      <c r="D29" s="9">
        <v>45785</v>
      </c>
      <c r="E29" s="14">
        <v>185</v>
      </c>
      <c r="F29" s="13"/>
      <c r="I29" s="46"/>
    </row>
    <row r="30" spans="1:9" x14ac:dyDescent="0.25">
      <c r="A30" s="9">
        <v>45784</v>
      </c>
      <c r="B30" s="30">
        <v>6037707</v>
      </c>
      <c r="C30" s="51" t="s">
        <v>35</v>
      </c>
      <c r="D30" s="9">
        <v>45784</v>
      </c>
      <c r="E30" s="14">
        <v>90.15</v>
      </c>
      <c r="F30" s="13"/>
      <c r="I30" s="46"/>
    </row>
    <row r="31" spans="1:9" x14ac:dyDescent="0.25">
      <c r="A31" s="9">
        <v>45784</v>
      </c>
      <c r="B31" s="30">
        <v>153212</v>
      </c>
      <c r="C31" s="51" t="s">
        <v>97</v>
      </c>
      <c r="D31" s="9">
        <v>45784</v>
      </c>
      <c r="E31" s="14">
        <v>54</v>
      </c>
      <c r="F31" s="13"/>
      <c r="I31" s="46"/>
    </row>
    <row r="32" spans="1:9" x14ac:dyDescent="0.25">
      <c r="A32" s="9">
        <v>45785</v>
      </c>
      <c r="B32" s="30">
        <v>41689</v>
      </c>
      <c r="C32" s="51" t="s">
        <v>174</v>
      </c>
      <c r="D32" s="9">
        <v>45785</v>
      </c>
      <c r="E32" s="14">
        <v>20</v>
      </c>
      <c r="F32" s="13"/>
      <c r="I32" s="46"/>
    </row>
    <row r="33" spans="1:10" x14ac:dyDescent="0.25">
      <c r="A33" s="64">
        <v>45782</v>
      </c>
      <c r="B33" s="65">
        <v>45658</v>
      </c>
      <c r="C33" s="32" t="s">
        <v>92</v>
      </c>
      <c r="D33" s="64">
        <v>45782</v>
      </c>
      <c r="E33" s="66"/>
      <c r="F33" s="14"/>
      <c r="I33" s="67">
        <v>2101</v>
      </c>
    </row>
    <row r="34" spans="1:10" x14ac:dyDescent="0.25">
      <c r="A34" s="64">
        <v>45785</v>
      </c>
      <c r="B34" s="65">
        <v>45658</v>
      </c>
      <c r="C34" s="23" t="s">
        <v>177</v>
      </c>
      <c r="D34" s="64">
        <v>45785</v>
      </c>
      <c r="E34" s="66"/>
      <c r="F34" s="14"/>
      <c r="I34" s="67">
        <v>2370.15</v>
      </c>
    </row>
    <row r="35" spans="1:10" x14ac:dyDescent="0.25">
      <c r="A35" s="9">
        <v>45785</v>
      </c>
      <c r="B35" s="10"/>
      <c r="C35" s="51" t="s">
        <v>178</v>
      </c>
      <c r="D35" s="35">
        <v>45797</v>
      </c>
      <c r="E35" s="25">
        <v>630</v>
      </c>
      <c r="F35" s="42"/>
      <c r="I35" s="46"/>
    </row>
    <row r="36" spans="1:10" x14ac:dyDescent="0.25">
      <c r="A36" s="9">
        <v>45785</v>
      </c>
      <c r="B36" s="10"/>
      <c r="C36" s="51" t="s">
        <v>179</v>
      </c>
      <c r="D36" s="9"/>
      <c r="E36" s="14">
        <v>3000</v>
      </c>
      <c r="F36" s="14"/>
      <c r="I36" s="46"/>
    </row>
    <row r="37" spans="1:10" x14ac:dyDescent="0.25">
      <c r="A37" s="9">
        <v>45785</v>
      </c>
      <c r="B37" s="10"/>
      <c r="C37" s="51" t="s">
        <v>181</v>
      </c>
      <c r="D37" s="9"/>
      <c r="E37" s="14">
        <v>360</v>
      </c>
      <c r="F37" s="42"/>
      <c r="I37" s="46"/>
    </row>
    <row r="38" spans="1:10" x14ac:dyDescent="0.25">
      <c r="A38" s="9">
        <v>45786</v>
      </c>
      <c r="B38" s="30">
        <v>41726</v>
      </c>
      <c r="C38" s="51" t="s">
        <v>174</v>
      </c>
      <c r="D38" s="9">
        <v>45786</v>
      </c>
      <c r="E38" s="14">
        <v>13.5</v>
      </c>
      <c r="F38" s="13"/>
      <c r="I38" s="46"/>
    </row>
    <row r="39" spans="1:10" x14ac:dyDescent="0.25">
      <c r="A39" s="9">
        <v>45789</v>
      </c>
      <c r="B39" s="62">
        <v>45658</v>
      </c>
      <c r="C39" s="51" t="s">
        <v>183</v>
      </c>
      <c r="D39" s="9">
        <v>45789</v>
      </c>
      <c r="E39" s="14">
        <v>18.100000000000001</v>
      </c>
      <c r="F39" s="13"/>
      <c r="I39" s="46"/>
    </row>
    <row r="40" spans="1:10" x14ac:dyDescent="0.25">
      <c r="A40" s="9">
        <v>45789</v>
      </c>
      <c r="B40" s="44">
        <v>45748</v>
      </c>
      <c r="C40" s="51" t="s">
        <v>184</v>
      </c>
      <c r="D40" s="35">
        <v>45797</v>
      </c>
      <c r="E40" s="25">
        <v>1018</v>
      </c>
      <c r="F40" s="42"/>
      <c r="I40" s="46"/>
    </row>
    <row r="41" spans="1:10" x14ac:dyDescent="0.25">
      <c r="A41" s="9">
        <v>45789</v>
      </c>
      <c r="B41" s="30">
        <v>10713</v>
      </c>
      <c r="C41" s="51" t="s">
        <v>186</v>
      </c>
      <c r="D41" s="9">
        <v>45792</v>
      </c>
      <c r="E41" s="14">
        <v>81.12</v>
      </c>
      <c r="F41" s="14"/>
      <c r="H41" s="4" t="s">
        <v>187</v>
      </c>
      <c r="I41" s="72"/>
      <c r="J41" s="4"/>
    </row>
    <row r="42" spans="1:10" x14ac:dyDescent="0.25">
      <c r="A42" s="64">
        <v>45789</v>
      </c>
      <c r="B42" s="73">
        <v>45690</v>
      </c>
      <c r="C42" s="32" t="s">
        <v>92</v>
      </c>
      <c r="D42" s="64">
        <v>45789</v>
      </c>
      <c r="E42" s="13"/>
      <c r="F42" s="13"/>
      <c r="I42" s="74">
        <v>1636.09</v>
      </c>
    </row>
    <row r="43" spans="1:10" x14ac:dyDescent="0.25">
      <c r="A43" s="9">
        <v>45789</v>
      </c>
      <c r="B43" s="75">
        <v>45658</v>
      </c>
      <c r="C43" s="51" t="s">
        <v>191</v>
      </c>
      <c r="D43" s="9">
        <v>45789</v>
      </c>
      <c r="E43" s="14">
        <v>52.3</v>
      </c>
      <c r="F43" s="13"/>
    </row>
    <row r="44" spans="1:10" x14ac:dyDescent="0.25">
      <c r="A44" s="9">
        <v>38484</v>
      </c>
      <c r="B44" s="75">
        <v>45658</v>
      </c>
      <c r="C44" s="51" t="s">
        <v>192</v>
      </c>
      <c r="D44" s="9">
        <v>45789</v>
      </c>
      <c r="E44" s="14">
        <v>50</v>
      </c>
      <c r="F44" s="13"/>
      <c r="I44" s="72"/>
    </row>
    <row r="45" spans="1:10" x14ac:dyDescent="0.25">
      <c r="A45" s="9">
        <v>45789</v>
      </c>
      <c r="B45" s="75">
        <v>45658</v>
      </c>
      <c r="C45" s="51" t="s">
        <v>194</v>
      </c>
      <c r="D45" s="9">
        <v>45789</v>
      </c>
      <c r="E45" s="14">
        <v>23.87</v>
      </c>
      <c r="F45" s="13"/>
      <c r="I45" s="72"/>
    </row>
    <row r="46" spans="1:10" ht="15.75" customHeight="1" x14ac:dyDescent="0.25">
      <c r="A46" s="9">
        <v>45789</v>
      </c>
      <c r="B46" s="51">
        <v>114669</v>
      </c>
      <c r="C46" s="4" t="s">
        <v>103</v>
      </c>
      <c r="D46" s="9">
        <v>45789</v>
      </c>
      <c r="E46" s="14">
        <v>78.95</v>
      </c>
      <c r="F46" s="48"/>
      <c r="G46" s="48"/>
      <c r="I46" s="33"/>
    </row>
    <row r="47" spans="1:10" ht="15.75" customHeight="1" x14ac:dyDescent="0.25">
      <c r="A47" s="9">
        <v>45791</v>
      </c>
      <c r="B47" s="51">
        <v>61452</v>
      </c>
      <c r="C47" s="4" t="s">
        <v>197</v>
      </c>
      <c r="D47" s="9">
        <v>45791</v>
      </c>
      <c r="E47" s="14">
        <v>28.94</v>
      </c>
      <c r="F47" s="48"/>
      <c r="G47" s="48"/>
      <c r="I47" s="33"/>
    </row>
    <row r="48" spans="1:10" ht="15.75" customHeight="1" x14ac:dyDescent="0.25">
      <c r="A48" s="9">
        <v>45764</v>
      </c>
      <c r="B48" s="51">
        <v>5863</v>
      </c>
      <c r="C48" s="4" t="s">
        <v>85</v>
      </c>
      <c r="D48" s="9">
        <v>45797</v>
      </c>
      <c r="E48" s="14">
        <v>504</v>
      </c>
      <c r="F48" s="42"/>
      <c r="G48" s="48"/>
      <c r="I48" s="33"/>
    </row>
    <row r="49" spans="1:9" ht="15.75" customHeight="1" x14ac:dyDescent="0.25">
      <c r="A49" s="9">
        <v>45778</v>
      </c>
      <c r="B49" s="51">
        <v>5874</v>
      </c>
      <c r="C49" s="4" t="s">
        <v>85</v>
      </c>
      <c r="D49" s="9">
        <v>45797</v>
      </c>
      <c r="E49" s="14">
        <v>108</v>
      </c>
      <c r="F49" s="42"/>
      <c r="G49" s="48"/>
      <c r="I49" s="33"/>
    </row>
    <row r="50" spans="1:9" ht="15.75" customHeight="1" x14ac:dyDescent="0.25">
      <c r="A50" s="9">
        <v>45783</v>
      </c>
      <c r="B50" s="51">
        <v>5878</v>
      </c>
      <c r="C50" s="4" t="s">
        <v>85</v>
      </c>
      <c r="D50" s="9">
        <v>45797</v>
      </c>
      <c r="E50" s="14">
        <v>72</v>
      </c>
      <c r="F50" s="42"/>
      <c r="G50" s="48"/>
      <c r="I50" s="33"/>
    </row>
    <row r="51" spans="1:9" ht="15.75" customHeight="1" x14ac:dyDescent="0.25">
      <c r="A51" s="9">
        <v>45792</v>
      </c>
      <c r="B51" s="44">
        <v>45748</v>
      </c>
      <c r="C51" s="4" t="s">
        <v>199</v>
      </c>
      <c r="D51" s="35">
        <v>45797</v>
      </c>
      <c r="E51" s="25">
        <v>809.52</v>
      </c>
      <c r="F51" s="42"/>
      <c r="G51" s="48"/>
      <c r="I51" s="33"/>
    </row>
    <row r="52" spans="1:9" ht="15.75" customHeight="1" x14ac:dyDescent="0.25">
      <c r="A52" s="9">
        <v>45794</v>
      </c>
      <c r="B52" s="51">
        <v>155548</v>
      </c>
      <c r="C52" s="78" t="s">
        <v>97</v>
      </c>
      <c r="D52" s="9">
        <v>45794</v>
      </c>
      <c r="E52" s="14">
        <v>29</v>
      </c>
      <c r="F52" s="48"/>
      <c r="G52" s="48"/>
      <c r="I52" s="34"/>
    </row>
    <row r="53" spans="1:9" ht="15.75" customHeight="1" x14ac:dyDescent="0.25">
      <c r="A53" s="9">
        <v>45795</v>
      </c>
      <c r="B53" s="75"/>
      <c r="C53" s="78" t="s">
        <v>200</v>
      </c>
      <c r="D53" s="9"/>
      <c r="E53" s="14">
        <v>28.88</v>
      </c>
      <c r="F53" s="48"/>
      <c r="G53" s="48"/>
      <c r="I53" s="34"/>
    </row>
    <row r="54" spans="1:9" ht="15.75" customHeight="1" x14ac:dyDescent="0.25">
      <c r="A54" s="64">
        <v>45795</v>
      </c>
      <c r="B54" s="73">
        <v>45658</v>
      </c>
      <c r="C54" s="32" t="s">
        <v>202</v>
      </c>
      <c r="D54" s="9"/>
      <c r="E54" s="14"/>
      <c r="F54" s="48"/>
      <c r="G54" s="48"/>
      <c r="I54" s="38">
        <v>1500</v>
      </c>
    </row>
    <row r="55" spans="1:9" ht="15.75" customHeight="1" x14ac:dyDescent="0.25">
      <c r="A55" s="64">
        <v>45795</v>
      </c>
      <c r="B55" s="73">
        <v>45719</v>
      </c>
      <c r="C55" s="32" t="s">
        <v>92</v>
      </c>
      <c r="D55" s="64">
        <v>45795</v>
      </c>
      <c r="E55" s="14"/>
      <c r="F55" s="48"/>
      <c r="G55" s="48"/>
      <c r="I55" s="38">
        <v>1447.23</v>
      </c>
    </row>
    <row r="56" spans="1:9" ht="15.75" customHeight="1" x14ac:dyDescent="0.25">
      <c r="A56" s="9">
        <v>45796</v>
      </c>
      <c r="B56" s="51">
        <v>114759</v>
      </c>
      <c r="C56" s="4" t="s">
        <v>103</v>
      </c>
      <c r="D56" s="9">
        <v>45796</v>
      </c>
      <c r="E56" s="14">
        <v>80.89</v>
      </c>
      <c r="F56" s="48"/>
      <c r="G56" s="48"/>
      <c r="I56" s="33"/>
    </row>
    <row r="57" spans="1:9" ht="15.75" customHeight="1" x14ac:dyDescent="0.25">
      <c r="A57" s="9">
        <v>45796</v>
      </c>
      <c r="B57" s="51">
        <v>24492</v>
      </c>
      <c r="C57" s="4" t="s">
        <v>203</v>
      </c>
      <c r="D57" s="9">
        <v>6620161</v>
      </c>
      <c r="E57" s="14">
        <v>70</v>
      </c>
      <c r="F57" s="48"/>
      <c r="G57" s="48"/>
      <c r="I57" s="33"/>
    </row>
    <row r="58" spans="1:9" ht="15.75" customHeight="1" x14ac:dyDescent="0.25">
      <c r="A58" s="9">
        <v>45796</v>
      </c>
      <c r="B58" s="75">
        <v>45658</v>
      </c>
      <c r="C58" s="4" t="s">
        <v>204</v>
      </c>
      <c r="D58" s="9">
        <v>45805</v>
      </c>
      <c r="E58" s="14">
        <v>1545</v>
      </c>
      <c r="F58" s="14"/>
      <c r="G58" s="48"/>
      <c r="I58" s="33"/>
    </row>
    <row r="59" spans="1:9" ht="15.75" customHeight="1" x14ac:dyDescent="0.25">
      <c r="A59" s="64">
        <v>45797</v>
      </c>
      <c r="B59" s="73">
        <v>45658</v>
      </c>
      <c r="C59" s="32" t="s">
        <v>205</v>
      </c>
      <c r="D59" s="64">
        <v>45797</v>
      </c>
      <c r="E59" s="79"/>
      <c r="F59" s="80"/>
      <c r="G59" s="80"/>
      <c r="H59" s="82"/>
      <c r="I59" s="38">
        <v>706.9</v>
      </c>
    </row>
    <row r="60" spans="1:9" ht="15.75" customHeight="1" x14ac:dyDescent="0.25">
      <c r="A60" s="9">
        <v>45797</v>
      </c>
      <c r="B60" s="75">
        <v>45658</v>
      </c>
      <c r="C60" s="4" t="s">
        <v>207</v>
      </c>
      <c r="D60" s="9">
        <v>45797</v>
      </c>
      <c r="E60" s="14">
        <v>500</v>
      </c>
      <c r="F60" s="48"/>
      <c r="G60" s="48"/>
      <c r="I60" s="33"/>
    </row>
    <row r="61" spans="1:9" ht="15.75" customHeight="1" x14ac:dyDescent="0.25">
      <c r="A61" s="9">
        <v>45797</v>
      </c>
      <c r="B61" s="51">
        <v>114792</v>
      </c>
      <c r="C61" s="4" t="s">
        <v>103</v>
      </c>
      <c r="D61" s="9">
        <v>45797</v>
      </c>
      <c r="E61" s="14">
        <v>36.69</v>
      </c>
      <c r="F61" s="48"/>
      <c r="G61" s="48"/>
      <c r="I61" s="33"/>
    </row>
    <row r="62" spans="1:9" ht="15.75" customHeight="1" x14ac:dyDescent="0.25">
      <c r="A62" s="9">
        <v>45798</v>
      </c>
      <c r="B62" s="75">
        <v>45658</v>
      </c>
      <c r="C62" s="4" t="s">
        <v>209</v>
      </c>
      <c r="D62" s="9">
        <v>45798</v>
      </c>
      <c r="E62" s="14">
        <v>321</v>
      </c>
      <c r="F62" s="48"/>
      <c r="G62" s="48"/>
      <c r="I62" s="33"/>
    </row>
    <row r="63" spans="1:9" ht="15.75" customHeight="1" x14ac:dyDescent="0.25">
      <c r="A63" s="9">
        <v>45798</v>
      </c>
      <c r="B63" s="75">
        <v>45658</v>
      </c>
      <c r="C63" s="4" t="s">
        <v>210</v>
      </c>
      <c r="D63" s="9">
        <v>45798</v>
      </c>
      <c r="E63" s="14">
        <v>500</v>
      </c>
      <c r="F63" s="83"/>
      <c r="G63" s="48"/>
      <c r="I63" s="33"/>
    </row>
    <row r="64" spans="1:9" ht="15.75" customHeight="1" x14ac:dyDescent="0.25">
      <c r="A64" s="9">
        <v>45799</v>
      </c>
      <c r="B64" s="75">
        <v>45658</v>
      </c>
      <c r="C64" s="4" t="s">
        <v>212</v>
      </c>
      <c r="D64" s="9">
        <v>45799</v>
      </c>
      <c r="E64" s="14">
        <v>19</v>
      </c>
      <c r="F64" s="83"/>
      <c r="G64" s="48"/>
      <c r="I64" s="33"/>
    </row>
    <row r="65" spans="1:9" ht="15.75" customHeight="1" x14ac:dyDescent="0.25">
      <c r="A65" s="9">
        <v>45799</v>
      </c>
      <c r="B65" s="75">
        <v>45658</v>
      </c>
      <c r="C65" s="4" t="s">
        <v>213</v>
      </c>
      <c r="D65" s="9">
        <v>45799</v>
      </c>
      <c r="E65" s="14">
        <v>47.8</v>
      </c>
      <c r="F65" s="83"/>
      <c r="G65" s="48"/>
      <c r="I65" s="33"/>
    </row>
    <row r="66" spans="1:9" ht="15.75" customHeight="1" x14ac:dyDescent="0.25">
      <c r="A66" s="9">
        <v>45800</v>
      </c>
      <c r="B66" s="75">
        <v>45658</v>
      </c>
      <c r="C66" s="4" t="s">
        <v>103</v>
      </c>
      <c r="D66" s="9">
        <v>45800</v>
      </c>
      <c r="E66" s="14">
        <v>57.77</v>
      </c>
      <c r="F66" s="48"/>
      <c r="G66" s="48"/>
      <c r="I66" s="33"/>
    </row>
    <row r="67" spans="1:9" ht="15.75" customHeight="1" x14ac:dyDescent="0.25">
      <c r="A67" s="64">
        <v>45803</v>
      </c>
      <c r="B67" s="73">
        <v>45690</v>
      </c>
      <c r="C67" s="32" t="s">
        <v>205</v>
      </c>
      <c r="D67" s="64">
        <v>45803</v>
      </c>
      <c r="E67" s="79"/>
      <c r="F67" s="80"/>
      <c r="G67" s="80"/>
      <c r="H67" s="82"/>
      <c r="I67" s="38">
        <v>2120</v>
      </c>
    </row>
    <row r="68" spans="1:9" ht="15.75" customHeight="1" x14ac:dyDescent="0.25">
      <c r="A68" s="9">
        <v>45803</v>
      </c>
      <c r="B68" s="75">
        <v>45658</v>
      </c>
      <c r="C68" s="4" t="s">
        <v>192</v>
      </c>
      <c r="D68" s="9">
        <v>45803</v>
      </c>
      <c r="E68" s="14">
        <v>55.9</v>
      </c>
      <c r="F68" s="48"/>
      <c r="G68" s="48"/>
      <c r="I68" s="33"/>
    </row>
    <row r="69" spans="1:9" ht="15.75" customHeight="1" x14ac:dyDescent="0.25">
      <c r="A69" s="9">
        <v>45803</v>
      </c>
      <c r="B69" s="75">
        <v>45690</v>
      </c>
      <c r="C69" s="4" t="s">
        <v>179</v>
      </c>
      <c r="D69" s="9">
        <v>45803</v>
      </c>
      <c r="E69" s="14">
        <v>2000</v>
      </c>
      <c r="F69" s="48"/>
      <c r="G69" s="48"/>
      <c r="I69" s="33"/>
    </row>
    <row r="70" spans="1:9" ht="15.75" customHeight="1" x14ac:dyDescent="0.25">
      <c r="A70" s="9">
        <v>45800</v>
      </c>
      <c r="B70" s="51">
        <v>27107</v>
      </c>
      <c r="C70" s="4" t="s">
        <v>216</v>
      </c>
      <c r="D70" s="9">
        <v>45803</v>
      </c>
      <c r="E70" s="14">
        <v>293.76</v>
      </c>
      <c r="F70" s="48"/>
      <c r="G70" s="48"/>
      <c r="I70" s="33"/>
    </row>
    <row r="71" spans="1:9" ht="15.75" customHeight="1" x14ac:dyDescent="0.25">
      <c r="A71" s="9">
        <v>45802</v>
      </c>
      <c r="B71" s="51">
        <v>1641</v>
      </c>
      <c r="C71" s="4" t="s">
        <v>217</v>
      </c>
      <c r="D71" s="9">
        <v>45803</v>
      </c>
      <c r="E71" s="14">
        <v>240</v>
      </c>
      <c r="F71" s="48"/>
      <c r="G71" s="48"/>
      <c r="I71" s="33"/>
    </row>
    <row r="72" spans="1:9" ht="15.75" customHeight="1" x14ac:dyDescent="0.25">
      <c r="A72" s="9">
        <v>45803</v>
      </c>
      <c r="B72" s="51">
        <v>8534</v>
      </c>
      <c r="C72" s="4" t="s">
        <v>218</v>
      </c>
      <c r="D72" s="9">
        <v>45803</v>
      </c>
      <c r="E72" s="14">
        <v>128</v>
      </c>
      <c r="F72" s="48"/>
      <c r="G72" s="48"/>
      <c r="I72" s="33"/>
    </row>
    <row r="73" spans="1:9" ht="15.75" customHeight="1" x14ac:dyDescent="0.25">
      <c r="A73" s="64">
        <v>45803</v>
      </c>
      <c r="B73" s="73">
        <v>45751</v>
      </c>
      <c r="C73" s="32" t="s">
        <v>92</v>
      </c>
      <c r="D73" s="64">
        <v>45803</v>
      </c>
      <c r="E73" s="48"/>
      <c r="F73" s="48"/>
      <c r="G73" s="48"/>
      <c r="I73" s="38">
        <v>1745.13</v>
      </c>
    </row>
    <row r="74" spans="1:9" ht="15.75" customHeight="1" x14ac:dyDescent="0.25">
      <c r="A74" s="9">
        <v>45742</v>
      </c>
      <c r="B74" s="75">
        <v>45992</v>
      </c>
      <c r="C74" s="4" t="s">
        <v>214</v>
      </c>
      <c r="D74" s="9">
        <v>45803</v>
      </c>
      <c r="E74" s="14">
        <v>76.989999999999995</v>
      </c>
      <c r="F74" s="48"/>
      <c r="G74" s="48"/>
      <c r="I74" s="33"/>
    </row>
    <row r="75" spans="1:9" ht="15.75" customHeight="1" x14ac:dyDescent="0.25">
      <c r="A75" s="64">
        <v>45804</v>
      </c>
      <c r="B75" s="73">
        <v>45658</v>
      </c>
      <c r="C75" s="32" t="s">
        <v>219</v>
      </c>
      <c r="D75" s="64">
        <v>45804</v>
      </c>
      <c r="E75" s="48"/>
      <c r="F75" s="48"/>
      <c r="G75" s="48"/>
      <c r="I75" s="38">
        <v>16331</v>
      </c>
    </row>
    <row r="76" spans="1:9" ht="15.75" customHeight="1" x14ac:dyDescent="0.25">
      <c r="A76" s="9">
        <v>45805</v>
      </c>
      <c r="B76" s="51">
        <v>41032</v>
      </c>
      <c r="C76" s="4" t="s">
        <v>221</v>
      </c>
      <c r="D76" s="9">
        <v>45805</v>
      </c>
      <c r="E76" s="14">
        <v>160</v>
      </c>
      <c r="F76" s="48"/>
      <c r="G76" s="48"/>
      <c r="I76" s="33"/>
    </row>
    <row r="77" spans="1:9" ht="15.75" customHeight="1" x14ac:dyDescent="0.25">
      <c r="A77" s="9">
        <v>45805</v>
      </c>
      <c r="B77" s="51">
        <v>4249</v>
      </c>
      <c r="C77" s="4" t="s">
        <v>223</v>
      </c>
      <c r="D77" s="9">
        <v>45805</v>
      </c>
      <c r="E77" s="14">
        <v>33.5</v>
      </c>
      <c r="F77" s="48"/>
      <c r="G77" s="48"/>
      <c r="I77" s="33"/>
    </row>
    <row r="78" spans="1:9" ht="15.75" customHeight="1" x14ac:dyDescent="0.25">
      <c r="A78" s="9">
        <v>45805</v>
      </c>
      <c r="B78" s="51">
        <v>34471</v>
      </c>
      <c r="C78" s="4" t="s">
        <v>224</v>
      </c>
      <c r="D78" s="9">
        <v>45805</v>
      </c>
      <c r="E78" s="14">
        <v>124</v>
      </c>
      <c r="F78" s="48"/>
      <c r="G78" s="48"/>
      <c r="I78" s="33"/>
    </row>
    <row r="79" spans="1:9" ht="15.75" customHeight="1" x14ac:dyDescent="0.25">
      <c r="A79" s="9">
        <v>45807</v>
      </c>
      <c r="B79" s="75">
        <v>45658</v>
      </c>
      <c r="C79" s="4" t="s">
        <v>226</v>
      </c>
      <c r="D79" s="9">
        <v>45807</v>
      </c>
      <c r="E79" s="14">
        <v>220</v>
      </c>
      <c r="F79" s="48"/>
      <c r="G79" s="48"/>
      <c r="I79" s="33"/>
    </row>
    <row r="80" spans="1:9" ht="15.75" customHeight="1" x14ac:dyDescent="0.25">
      <c r="A80" s="9">
        <v>45808</v>
      </c>
      <c r="C80" s="4" t="s">
        <v>192</v>
      </c>
      <c r="D80" s="9">
        <v>45808</v>
      </c>
      <c r="E80" s="14">
        <v>100</v>
      </c>
      <c r="F80" s="48"/>
      <c r="G80" s="48"/>
      <c r="I80" s="33"/>
    </row>
    <row r="81" spans="1:9" ht="15.75" customHeight="1" x14ac:dyDescent="0.25">
      <c r="A81" s="11"/>
      <c r="E81" s="48"/>
      <c r="F81" s="48"/>
      <c r="G81" s="48"/>
      <c r="I81" s="33"/>
    </row>
    <row r="82" spans="1:9" ht="15.75" customHeight="1" x14ac:dyDescent="0.25">
      <c r="A82" s="11"/>
      <c r="E82" s="48">
        <f t="shared" ref="E82:F82" si="0">SUM(E2:E81)</f>
        <v>24328.219999999998</v>
      </c>
      <c r="F82" s="48">
        <f t="shared" si="0"/>
        <v>0</v>
      </c>
      <c r="G82" s="48">
        <f>SUM(E82:F82)</f>
        <v>24328.219999999998</v>
      </c>
      <c r="I82" s="33"/>
    </row>
    <row r="83" spans="1:9" ht="15.75" customHeight="1" x14ac:dyDescent="0.25">
      <c r="E83" s="90"/>
      <c r="F83" s="13"/>
      <c r="I83" s="95">
        <f>SUM(I2:I82)</f>
        <v>29957.5</v>
      </c>
    </row>
    <row r="84" spans="1:9" ht="15.75" customHeight="1" x14ac:dyDescent="0.25">
      <c r="E84" s="13"/>
      <c r="F84" s="13"/>
    </row>
    <row r="85" spans="1:9" ht="15.75" customHeight="1" x14ac:dyDescent="0.25">
      <c r="E85" s="14"/>
      <c r="F85" s="13"/>
    </row>
    <row r="86" spans="1:9" ht="15.75" customHeight="1" x14ac:dyDescent="0.25">
      <c r="E86" s="14"/>
      <c r="F86" s="13"/>
    </row>
    <row r="87" spans="1:9" ht="15.75" customHeight="1" x14ac:dyDescent="0.25">
      <c r="C87" s="4"/>
      <c r="E87" s="14"/>
      <c r="F87" s="13"/>
    </row>
    <row r="88" spans="1:9" ht="15.75" customHeight="1" x14ac:dyDescent="0.25">
      <c r="E88" s="14"/>
      <c r="F88" s="13"/>
    </row>
    <row r="89" spans="1:9" ht="15.75" customHeight="1" x14ac:dyDescent="0.25">
      <c r="E89" s="14"/>
      <c r="F89" s="13"/>
    </row>
    <row r="90" spans="1:9" ht="15.75" customHeight="1" x14ac:dyDescent="0.25">
      <c r="E90" s="14"/>
      <c r="F90" s="13"/>
    </row>
    <row r="91" spans="1:9" ht="15.75" customHeight="1" x14ac:dyDescent="0.25">
      <c r="E91" s="14"/>
      <c r="F91" s="13"/>
    </row>
    <row r="92" spans="1:9" ht="15.75" customHeight="1" x14ac:dyDescent="0.25">
      <c r="E92" s="14"/>
      <c r="F92" s="13"/>
    </row>
    <row r="93" spans="1:9" ht="15.75" customHeight="1" x14ac:dyDescent="0.25">
      <c r="E93" s="14"/>
      <c r="F93" s="13"/>
    </row>
    <row r="94" spans="1:9" ht="15.75" customHeight="1" x14ac:dyDescent="0.25">
      <c r="E94" s="14"/>
      <c r="F94" s="13"/>
    </row>
    <row r="95" spans="1:9" ht="15.75" customHeight="1" x14ac:dyDescent="0.25">
      <c r="E95" s="101"/>
      <c r="F95" s="13"/>
    </row>
    <row r="96" spans="1:9" ht="15.75" customHeight="1" x14ac:dyDescent="0.25">
      <c r="E96" s="13"/>
      <c r="F96" s="13"/>
    </row>
    <row r="97" spans="5:6" ht="15.75" customHeight="1" x14ac:dyDescent="0.25">
      <c r="E97" s="13"/>
      <c r="F97" s="13"/>
    </row>
    <row r="98" spans="5:6" ht="15.75" customHeight="1" x14ac:dyDescent="0.25">
      <c r="E98" s="13"/>
      <c r="F98" s="13"/>
    </row>
    <row r="99" spans="5:6" ht="15.75" customHeight="1" x14ac:dyDescent="0.25">
      <c r="E99" s="13"/>
      <c r="F99" s="13"/>
    </row>
    <row r="100" spans="5:6" ht="15.75" customHeight="1" x14ac:dyDescent="0.25">
      <c r="E100" s="13"/>
      <c r="F100" s="13"/>
    </row>
    <row r="101" spans="5:6" ht="15.75" customHeight="1" x14ac:dyDescent="0.25">
      <c r="E101" s="13"/>
      <c r="F101" s="13"/>
    </row>
    <row r="102" spans="5:6" ht="15.75" customHeight="1" x14ac:dyDescent="0.25">
      <c r="E102" s="13"/>
      <c r="F102" s="13"/>
    </row>
    <row r="103" spans="5:6" ht="15.75" customHeight="1" x14ac:dyDescent="0.25">
      <c r="E103" s="13"/>
      <c r="F103" s="13"/>
    </row>
    <row r="104" spans="5:6" ht="15.75" customHeight="1" x14ac:dyDescent="0.25">
      <c r="E104" s="13"/>
      <c r="F104" s="13"/>
    </row>
    <row r="105" spans="5:6" ht="15.75" customHeight="1" x14ac:dyDescent="0.25">
      <c r="E105" s="13"/>
      <c r="F105" s="13"/>
    </row>
    <row r="106" spans="5:6" ht="15.75" customHeight="1" x14ac:dyDescent="0.25">
      <c r="E106" s="13"/>
      <c r="F106" s="13"/>
    </row>
    <row r="107" spans="5:6" ht="15.75" customHeight="1" x14ac:dyDescent="0.25">
      <c r="E107" s="13"/>
      <c r="F107" s="13"/>
    </row>
    <row r="108" spans="5:6" ht="15.75" customHeight="1" x14ac:dyDescent="0.25">
      <c r="E108" s="13"/>
      <c r="F108" s="13"/>
    </row>
    <row r="109" spans="5:6" ht="15.75" customHeight="1" x14ac:dyDescent="0.25">
      <c r="E109" s="13"/>
      <c r="F109" s="13"/>
    </row>
    <row r="110" spans="5:6" ht="15.75" customHeight="1" x14ac:dyDescent="0.25">
      <c r="E110" s="13"/>
      <c r="F110" s="13"/>
    </row>
    <row r="111" spans="5:6" ht="15.75" customHeight="1" x14ac:dyDescent="0.25">
      <c r="E111" s="13"/>
      <c r="F111" s="13"/>
    </row>
    <row r="112" spans="5:6" ht="15.75" customHeight="1" x14ac:dyDescent="0.25">
      <c r="E112" s="13"/>
      <c r="F112" s="13"/>
    </row>
    <row r="113" spans="5:6" ht="15.75" customHeight="1" x14ac:dyDescent="0.25">
      <c r="E113" s="13"/>
      <c r="F113" s="13"/>
    </row>
    <row r="114" spans="5:6" ht="15.75" customHeight="1" x14ac:dyDescent="0.25">
      <c r="E114" s="13"/>
      <c r="F114" s="13"/>
    </row>
    <row r="115" spans="5:6" ht="15.75" customHeight="1" x14ac:dyDescent="0.25"/>
    <row r="116" spans="5:6" ht="15.75" customHeight="1" x14ac:dyDescent="0.25"/>
    <row r="117" spans="5:6" ht="15.75" customHeight="1" x14ac:dyDescent="0.25"/>
    <row r="118" spans="5:6" ht="15.75" customHeight="1" x14ac:dyDescent="0.25"/>
    <row r="119" spans="5:6" ht="15.75" customHeight="1" x14ac:dyDescent="0.25"/>
    <row r="120" spans="5:6" ht="15.75" customHeight="1" x14ac:dyDescent="0.25"/>
    <row r="121" spans="5:6" ht="15.75" customHeight="1" x14ac:dyDescent="0.25"/>
    <row r="122" spans="5:6" ht="15.75" customHeight="1" x14ac:dyDescent="0.25"/>
    <row r="123" spans="5:6" ht="15.75" customHeight="1" x14ac:dyDescent="0.25"/>
    <row r="124" spans="5:6" ht="15.75" customHeight="1" x14ac:dyDescent="0.25"/>
    <row r="125" spans="5:6" ht="15.75" customHeight="1" x14ac:dyDescent="0.25"/>
    <row r="126" spans="5:6" ht="15.75" customHeight="1" x14ac:dyDescent="0.25"/>
    <row r="127" spans="5:6" ht="15.75" customHeight="1" x14ac:dyDescent="0.25"/>
    <row r="128" spans="5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spans="6:6" ht="15.75" customHeight="1" x14ac:dyDescent="0.25"/>
    <row r="194" spans="6:6" ht="15.75" customHeight="1" x14ac:dyDescent="0.25"/>
    <row r="195" spans="6:6" ht="15.75" customHeight="1" x14ac:dyDescent="0.25"/>
    <row r="196" spans="6:6" ht="15.75" customHeight="1" x14ac:dyDescent="0.25"/>
    <row r="197" spans="6:6" ht="15.75" customHeight="1" x14ac:dyDescent="0.25">
      <c r="F197" s="13">
        <f>SUM(F2:F196)</f>
        <v>0</v>
      </c>
    </row>
    <row r="198" spans="6:6" ht="15.75" customHeight="1" x14ac:dyDescent="0.25"/>
    <row r="199" spans="6:6" ht="15.75" customHeight="1" x14ac:dyDescent="0.25"/>
    <row r="200" spans="6:6" ht="15.75" customHeight="1" x14ac:dyDescent="0.25"/>
    <row r="201" spans="6:6" ht="15.75" customHeight="1" x14ac:dyDescent="0.25"/>
    <row r="202" spans="6:6" ht="15.75" customHeight="1" x14ac:dyDescent="0.25"/>
    <row r="203" spans="6:6" ht="15.75" customHeight="1" x14ac:dyDescent="0.25"/>
    <row r="204" spans="6:6" ht="15.75" customHeight="1" x14ac:dyDescent="0.25"/>
    <row r="205" spans="6:6" ht="15.75" customHeight="1" x14ac:dyDescent="0.25"/>
    <row r="206" spans="6:6" ht="15.75" customHeight="1" x14ac:dyDescent="0.25"/>
    <row r="207" spans="6:6" ht="15.75" customHeight="1" x14ac:dyDescent="0.25"/>
    <row r="208" spans="6:6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</sheetData>
  <pageMargins left="0.78740157499999996" right="0.78740157499999996" top="0.511811024" bottom="0.511811024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06"/>
  <sheetViews>
    <sheetView workbookViewId="0"/>
  </sheetViews>
  <sheetFormatPr defaultColWidth="12.5703125" defaultRowHeight="15" customHeight="1" x14ac:dyDescent="0.25"/>
  <cols>
    <col min="1" max="1" width="15.42578125" customWidth="1"/>
    <col min="2" max="2" width="15" customWidth="1"/>
    <col min="3" max="3" width="33.42578125" customWidth="1"/>
    <col min="4" max="4" width="18.7109375" customWidth="1"/>
    <col min="5" max="5" width="15.5703125" customWidth="1"/>
    <col min="6" max="6" width="17" customWidth="1"/>
    <col min="7" max="7" width="14.85546875" customWidth="1"/>
    <col min="8" max="8" width="18.7109375" customWidth="1"/>
    <col min="9" max="9" width="25" customWidth="1"/>
    <col min="10" max="26" width="8.5703125" customWidth="1"/>
  </cols>
  <sheetData>
    <row r="1" spans="1:10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10" x14ac:dyDescent="0.25">
      <c r="A2" s="17">
        <v>45809</v>
      </c>
      <c r="B2" s="22">
        <v>1</v>
      </c>
      <c r="C2" s="23" t="s">
        <v>77</v>
      </c>
      <c r="D2" s="9"/>
      <c r="E2" s="25"/>
      <c r="F2" s="14"/>
      <c r="G2" s="4"/>
      <c r="H2" s="28">
        <v>12131.8</v>
      </c>
    </row>
    <row r="3" spans="1:10" x14ac:dyDescent="0.25">
      <c r="A3" s="29">
        <v>45810</v>
      </c>
      <c r="B3" s="31">
        <v>45658</v>
      </c>
      <c r="C3" s="32" t="s">
        <v>92</v>
      </c>
      <c r="D3" s="29">
        <v>45810</v>
      </c>
      <c r="E3" s="33"/>
      <c r="F3" s="34"/>
      <c r="H3" s="28">
        <v>1523.33</v>
      </c>
    </row>
    <row r="4" spans="1:10" x14ac:dyDescent="0.25">
      <c r="A4" s="8">
        <v>45810</v>
      </c>
      <c r="B4" s="4">
        <v>114991</v>
      </c>
      <c r="C4" s="4" t="s">
        <v>103</v>
      </c>
      <c r="D4" s="8">
        <v>45810</v>
      </c>
      <c r="E4" s="37">
        <v>263.16000000000003</v>
      </c>
      <c r="F4" s="34"/>
      <c r="H4" s="38"/>
      <c r="I4" s="40" t="s">
        <v>112</v>
      </c>
    </row>
    <row r="5" spans="1:10" x14ac:dyDescent="0.25">
      <c r="A5" s="8">
        <v>45810</v>
      </c>
      <c r="B5" s="41">
        <v>45658</v>
      </c>
      <c r="C5" s="4" t="s">
        <v>118</v>
      </c>
      <c r="D5" s="8">
        <v>45810</v>
      </c>
      <c r="E5" s="37">
        <v>130</v>
      </c>
      <c r="F5" s="34"/>
      <c r="H5" s="38"/>
      <c r="I5" s="43"/>
    </row>
    <row r="6" spans="1:10" x14ac:dyDescent="0.25">
      <c r="A6" s="8">
        <v>45810</v>
      </c>
      <c r="B6" s="4">
        <v>14370</v>
      </c>
      <c r="C6" s="4" t="s">
        <v>128</v>
      </c>
      <c r="D6" s="8">
        <v>45810</v>
      </c>
      <c r="E6" s="37">
        <v>69.84</v>
      </c>
      <c r="F6" s="34"/>
      <c r="H6" s="38"/>
      <c r="I6" s="43"/>
    </row>
    <row r="7" spans="1:10" x14ac:dyDescent="0.25">
      <c r="A7" s="45">
        <v>45777</v>
      </c>
      <c r="B7" s="47">
        <v>128</v>
      </c>
      <c r="C7" s="3" t="s">
        <v>67</v>
      </c>
      <c r="D7" s="49">
        <v>45811</v>
      </c>
      <c r="E7" s="50">
        <v>31.9</v>
      </c>
      <c r="F7" s="36"/>
      <c r="G7" s="4"/>
      <c r="H7" s="38"/>
      <c r="J7" s="53"/>
    </row>
    <row r="8" spans="1:10" x14ac:dyDescent="0.25">
      <c r="A8" s="8">
        <v>45779</v>
      </c>
      <c r="B8" s="4">
        <v>151</v>
      </c>
      <c r="C8" s="4" t="s">
        <v>67</v>
      </c>
      <c r="D8" s="54">
        <v>45811</v>
      </c>
      <c r="E8" s="55">
        <v>221</v>
      </c>
      <c r="F8" s="56"/>
      <c r="G8" s="4"/>
      <c r="H8" s="38"/>
    </row>
    <row r="9" spans="1:10" x14ac:dyDescent="0.25">
      <c r="A9" s="8">
        <v>45779</v>
      </c>
      <c r="B9" s="4">
        <v>20164</v>
      </c>
      <c r="C9" s="4" t="s">
        <v>161</v>
      </c>
      <c r="D9" s="54">
        <v>45811</v>
      </c>
      <c r="E9" s="55">
        <v>37</v>
      </c>
      <c r="F9" s="56"/>
      <c r="G9" s="4"/>
      <c r="H9" s="38"/>
    </row>
    <row r="10" spans="1:10" x14ac:dyDescent="0.25">
      <c r="A10" s="8">
        <v>45782</v>
      </c>
      <c r="B10" s="4">
        <v>181</v>
      </c>
      <c r="C10" s="4" t="s">
        <v>67</v>
      </c>
      <c r="D10" s="54">
        <v>45811</v>
      </c>
      <c r="E10" s="55">
        <v>195.3</v>
      </c>
      <c r="F10" s="56"/>
      <c r="G10" s="4"/>
      <c r="H10" s="38"/>
      <c r="I10" s="61"/>
    </row>
    <row r="11" spans="1:10" x14ac:dyDescent="0.25">
      <c r="A11" s="8">
        <v>45789</v>
      </c>
      <c r="B11" s="4">
        <v>1469</v>
      </c>
      <c r="C11" s="4" t="s">
        <v>168</v>
      </c>
      <c r="D11" s="8">
        <v>45811</v>
      </c>
      <c r="E11" s="37">
        <v>240</v>
      </c>
      <c r="F11" s="34"/>
      <c r="G11" s="4"/>
      <c r="H11" s="38"/>
    </row>
    <row r="12" spans="1:10" x14ac:dyDescent="0.25">
      <c r="A12" s="8">
        <v>45812</v>
      </c>
      <c r="B12" s="4">
        <v>115029</v>
      </c>
      <c r="C12" s="4" t="s">
        <v>103</v>
      </c>
      <c r="D12" s="8">
        <v>45812</v>
      </c>
      <c r="E12" s="37">
        <v>43.37</v>
      </c>
      <c r="F12" s="34"/>
      <c r="H12" s="38"/>
      <c r="I12" s="43"/>
    </row>
    <row r="13" spans="1:10" x14ac:dyDescent="0.25">
      <c r="A13" s="8">
        <v>45782</v>
      </c>
      <c r="B13" s="4">
        <v>17693</v>
      </c>
      <c r="C13" s="4" t="s">
        <v>89</v>
      </c>
      <c r="D13" s="54">
        <v>45813</v>
      </c>
      <c r="E13" s="55">
        <v>314.74</v>
      </c>
      <c r="F13" s="56"/>
      <c r="G13" s="4"/>
      <c r="H13" s="38"/>
      <c r="I13" s="33"/>
    </row>
    <row r="14" spans="1:10" x14ac:dyDescent="0.25">
      <c r="A14" s="8">
        <v>45810</v>
      </c>
      <c r="B14" s="63">
        <v>45778</v>
      </c>
      <c r="C14" s="4" t="s">
        <v>131</v>
      </c>
      <c r="D14" s="8">
        <v>45813</v>
      </c>
      <c r="E14" s="37">
        <v>550</v>
      </c>
      <c r="F14" s="34"/>
      <c r="H14" s="38"/>
    </row>
    <row r="15" spans="1:10" x14ac:dyDescent="0.25">
      <c r="A15" s="8">
        <v>45813</v>
      </c>
      <c r="B15" s="41">
        <v>45658</v>
      </c>
      <c r="C15" s="4" t="s">
        <v>61</v>
      </c>
      <c r="D15" s="45">
        <v>45813</v>
      </c>
      <c r="E15" s="37">
        <v>1041.8</v>
      </c>
      <c r="F15" s="34"/>
      <c r="H15" s="38"/>
      <c r="I15" s="43"/>
    </row>
    <row r="16" spans="1:10" x14ac:dyDescent="0.25">
      <c r="A16" s="8">
        <v>45813</v>
      </c>
      <c r="B16" s="41">
        <v>45658</v>
      </c>
      <c r="C16" s="4" t="s">
        <v>104</v>
      </c>
      <c r="D16" s="8">
        <v>45813</v>
      </c>
      <c r="E16" s="37">
        <v>365.79</v>
      </c>
      <c r="F16" s="34"/>
      <c r="H16" s="38"/>
      <c r="I16" s="43"/>
    </row>
    <row r="17" spans="1:9" x14ac:dyDescent="0.25">
      <c r="A17" s="8">
        <v>45813</v>
      </c>
      <c r="B17" s="41">
        <v>45658</v>
      </c>
      <c r="C17" s="4" t="s">
        <v>175</v>
      </c>
      <c r="D17" s="8">
        <v>45813</v>
      </c>
      <c r="E17" s="37">
        <v>1425.1</v>
      </c>
      <c r="F17" s="34"/>
      <c r="H17" s="38"/>
      <c r="I17" s="68" t="s">
        <v>176</v>
      </c>
    </row>
    <row r="18" spans="1:9" x14ac:dyDescent="0.25">
      <c r="A18" s="8">
        <v>45800</v>
      </c>
      <c r="B18" s="4">
        <v>5139</v>
      </c>
      <c r="C18" s="4" t="s">
        <v>148</v>
      </c>
      <c r="D18" s="54">
        <v>45813</v>
      </c>
      <c r="E18" s="55">
        <v>344.6</v>
      </c>
      <c r="F18" s="70">
        <f>SUM(F11:F17)</f>
        <v>0</v>
      </c>
      <c r="G18" s="71" t="s">
        <v>188</v>
      </c>
      <c r="H18" s="38"/>
    </row>
    <row r="19" spans="1:9" x14ac:dyDescent="0.25">
      <c r="A19" s="8">
        <v>45783</v>
      </c>
      <c r="B19" s="4">
        <v>24443</v>
      </c>
      <c r="C19" s="34" t="s">
        <v>37</v>
      </c>
      <c r="D19" s="54">
        <v>45818</v>
      </c>
      <c r="E19" s="55">
        <v>99.28</v>
      </c>
      <c r="F19" s="56"/>
      <c r="G19" s="4"/>
      <c r="H19" s="38"/>
      <c r="I19" s="4" t="s">
        <v>189</v>
      </c>
    </row>
    <row r="20" spans="1:9" x14ac:dyDescent="0.25">
      <c r="A20" s="8">
        <v>45783</v>
      </c>
      <c r="B20" s="76">
        <v>23261</v>
      </c>
      <c r="C20" s="51" t="s">
        <v>193</v>
      </c>
      <c r="D20" s="54">
        <v>45818</v>
      </c>
      <c r="E20" s="55">
        <v>74.2</v>
      </c>
      <c r="F20" s="56"/>
      <c r="G20" s="4"/>
      <c r="H20" s="38"/>
    </row>
    <row r="21" spans="1:9" x14ac:dyDescent="0.25">
      <c r="A21" s="45">
        <v>45784</v>
      </c>
      <c r="B21" s="76">
        <v>40621</v>
      </c>
      <c r="C21" s="51" t="s">
        <v>166</v>
      </c>
      <c r="D21" s="54">
        <v>45818</v>
      </c>
      <c r="E21" s="55">
        <v>300</v>
      </c>
      <c r="F21" s="56"/>
      <c r="G21" s="4"/>
      <c r="H21" s="38"/>
    </row>
    <row r="22" spans="1:9" x14ac:dyDescent="0.25">
      <c r="A22" s="8">
        <v>45784</v>
      </c>
      <c r="B22" s="47" t="s">
        <v>195</v>
      </c>
      <c r="C22" s="4" t="s">
        <v>196</v>
      </c>
      <c r="D22" s="54">
        <v>45818</v>
      </c>
      <c r="E22" s="55">
        <v>145.25</v>
      </c>
      <c r="F22" s="56"/>
      <c r="G22" s="4"/>
      <c r="H22" s="38"/>
    </row>
    <row r="23" spans="1:9" x14ac:dyDescent="0.25">
      <c r="A23" s="8">
        <v>45785</v>
      </c>
      <c r="B23" s="4">
        <v>24611</v>
      </c>
      <c r="C23" s="4" t="s">
        <v>37</v>
      </c>
      <c r="D23" s="54">
        <v>45818</v>
      </c>
      <c r="E23" s="55">
        <v>83.6</v>
      </c>
      <c r="F23" s="56"/>
      <c r="G23" s="4"/>
      <c r="H23" s="38"/>
      <c r="I23" s="4" t="s">
        <v>198</v>
      </c>
    </row>
    <row r="24" spans="1:9" x14ac:dyDescent="0.25">
      <c r="A24" s="8">
        <v>45785</v>
      </c>
      <c r="B24" s="4">
        <v>15992</v>
      </c>
      <c r="C24" s="4" t="s">
        <v>121</v>
      </c>
      <c r="D24" s="54">
        <v>45818</v>
      </c>
      <c r="E24" s="55">
        <v>224</v>
      </c>
      <c r="F24" s="56"/>
      <c r="G24" s="4"/>
      <c r="H24" s="38"/>
    </row>
    <row r="25" spans="1:9" x14ac:dyDescent="0.25">
      <c r="A25" s="8">
        <v>45786</v>
      </c>
      <c r="B25" s="4">
        <v>17880</v>
      </c>
      <c r="C25" s="4" t="s">
        <v>89</v>
      </c>
      <c r="D25" s="54">
        <v>45818</v>
      </c>
      <c r="E25" s="55">
        <v>273.89999999999998</v>
      </c>
      <c r="F25" s="56"/>
      <c r="G25" s="4"/>
      <c r="H25" s="38"/>
    </row>
    <row r="26" spans="1:9" x14ac:dyDescent="0.25">
      <c r="A26" s="8">
        <v>45790</v>
      </c>
      <c r="B26" s="4">
        <v>24893</v>
      </c>
      <c r="C26" s="4" t="s">
        <v>37</v>
      </c>
      <c r="D26" s="8">
        <v>45818</v>
      </c>
      <c r="E26" s="37">
        <v>163.02000000000001</v>
      </c>
      <c r="F26" s="34"/>
      <c r="G26" s="4"/>
      <c r="H26" s="38"/>
      <c r="I26" s="4" t="s">
        <v>201</v>
      </c>
    </row>
    <row r="27" spans="1:9" x14ac:dyDescent="0.25">
      <c r="A27" s="8">
        <v>45790</v>
      </c>
      <c r="B27" s="4">
        <v>15357</v>
      </c>
      <c r="C27" s="4" t="s">
        <v>121</v>
      </c>
      <c r="D27" s="8">
        <v>45818</v>
      </c>
      <c r="E27" s="37">
        <v>93.06</v>
      </c>
      <c r="F27" s="34"/>
      <c r="G27" s="4"/>
      <c r="H27" s="38"/>
    </row>
    <row r="28" spans="1:9" x14ac:dyDescent="0.25">
      <c r="A28" s="8">
        <v>45790</v>
      </c>
      <c r="B28" s="4">
        <v>40822</v>
      </c>
      <c r="C28" s="4" t="s">
        <v>166</v>
      </c>
      <c r="D28" s="8">
        <v>45818</v>
      </c>
      <c r="E28" s="37">
        <v>596</v>
      </c>
      <c r="F28" s="34"/>
      <c r="G28" s="4"/>
      <c r="H28" s="38"/>
    </row>
    <row r="29" spans="1:9" x14ac:dyDescent="0.25">
      <c r="A29" s="8">
        <v>45792</v>
      </c>
      <c r="B29" s="4">
        <v>16019</v>
      </c>
      <c r="C29" s="4" t="s">
        <v>121</v>
      </c>
      <c r="D29" s="8">
        <v>45818</v>
      </c>
      <c r="E29" s="37">
        <v>17.28</v>
      </c>
      <c r="F29" s="34"/>
      <c r="H29" s="38"/>
    </row>
    <row r="30" spans="1:9" x14ac:dyDescent="0.25">
      <c r="A30" s="8">
        <v>45790</v>
      </c>
      <c r="B30" s="81">
        <v>45778</v>
      </c>
      <c r="C30" s="4" t="s">
        <v>163</v>
      </c>
      <c r="D30" s="54">
        <v>45821</v>
      </c>
      <c r="E30" s="55">
        <v>33.44</v>
      </c>
      <c r="F30" s="70"/>
      <c r="G30" s="4"/>
      <c r="H30" s="38"/>
      <c r="I30" s="4" t="s">
        <v>206</v>
      </c>
    </row>
    <row r="31" spans="1:9" x14ac:dyDescent="0.25">
      <c r="A31" s="8">
        <v>45790</v>
      </c>
      <c r="B31" s="47" t="s">
        <v>208</v>
      </c>
      <c r="C31" s="4" t="s">
        <v>96</v>
      </c>
      <c r="D31" s="54">
        <v>45821</v>
      </c>
      <c r="E31" s="55">
        <v>418</v>
      </c>
      <c r="F31" s="70"/>
      <c r="G31" s="4"/>
      <c r="H31" s="38"/>
    </row>
    <row r="32" spans="1:9" x14ac:dyDescent="0.25">
      <c r="A32" s="8">
        <v>45790</v>
      </c>
      <c r="B32" s="4">
        <v>1651</v>
      </c>
      <c r="C32" s="4" t="s">
        <v>67</v>
      </c>
      <c r="D32" s="54">
        <v>45821</v>
      </c>
      <c r="E32" s="55">
        <v>653.95000000000005</v>
      </c>
      <c r="F32" s="70"/>
      <c r="H32" s="38"/>
    </row>
    <row r="33" spans="1:8" x14ac:dyDescent="0.25">
      <c r="A33" s="8">
        <v>45792</v>
      </c>
      <c r="B33" s="4">
        <v>20263</v>
      </c>
      <c r="C33" s="4" t="s">
        <v>211</v>
      </c>
      <c r="D33" s="54">
        <v>45824</v>
      </c>
      <c r="E33" s="55">
        <v>36.4</v>
      </c>
      <c r="F33" s="70"/>
      <c r="H33" s="38"/>
    </row>
    <row r="34" spans="1:8" x14ac:dyDescent="0.25">
      <c r="A34" s="8">
        <v>45792</v>
      </c>
      <c r="B34" s="4">
        <v>20233</v>
      </c>
      <c r="C34" s="4" t="s">
        <v>211</v>
      </c>
      <c r="D34" s="54">
        <v>45824</v>
      </c>
      <c r="E34" s="55">
        <v>37</v>
      </c>
      <c r="F34" s="70"/>
      <c r="H34" s="38"/>
    </row>
    <row r="35" spans="1:8" x14ac:dyDescent="0.25">
      <c r="A35" s="8">
        <v>45810</v>
      </c>
      <c r="B35" s="41">
        <v>45993</v>
      </c>
      <c r="C35" s="4" t="s">
        <v>214</v>
      </c>
      <c r="D35" s="54">
        <v>45824</v>
      </c>
      <c r="E35" s="55">
        <v>99.99</v>
      </c>
      <c r="F35" s="70"/>
      <c r="H35" s="38"/>
    </row>
    <row r="36" spans="1:8" x14ac:dyDescent="0.25">
      <c r="A36" s="8">
        <v>45793</v>
      </c>
      <c r="B36" s="4">
        <v>1749</v>
      </c>
      <c r="C36" s="4" t="s">
        <v>215</v>
      </c>
      <c r="D36" s="54">
        <v>45825</v>
      </c>
      <c r="E36" s="55">
        <v>128</v>
      </c>
      <c r="F36" s="70"/>
      <c r="H36" s="38"/>
    </row>
    <row r="37" spans="1:8" x14ac:dyDescent="0.25">
      <c r="A37" s="8">
        <v>45777</v>
      </c>
      <c r="B37" s="4">
        <v>1</v>
      </c>
      <c r="C37" s="4" t="s">
        <v>215</v>
      </c>
      <c r="D37" s="54">
        <v>45825</v>
      </c>
      <c r="E37" s="55">
        <v>500</v>
      </c>
      <c r="F37" s="70"/>
      <c r="H37" s="38"/>
    </row>
    <row r="38" spans="1:8" x14ac:dyDescent="0.25">
      <c r="A38" s="8">
        <v>45803</v>
      </c>
      <c r="B38" s="4">
        <v>23489</v>
      </c>
      <c r="C38" s="4" t="s">
        <v>193</v>
      </c>
      <c r="D38" s="8">
        <v>45825</v>
      </c>
      <c r="E38" s="37">
        <v>60</v>
      </c>
      <c r="F38" s="34"/>
      <c r="H38" s="38"/>
    </row>
    <row r="39" spans="1:8" x14ac:dyDescent="0.25">
      <c r="A39" s="8">
        <v>45796</v>
      </c>
      <c r="B39" s="4">
        <v>25317</v>
      </c>
      <c r="C39" s="4" t="s">
        <v>37</v>
      </c>
      <c r="D39" s="54">
        <v>45826</v>
      </c>
      <c r="E39" s="55">
        <v>141.05000000000001</v>
      </c>
      <c r="F39" s="70"/>
      <c r="H39" s="38"/>
    </row>
    <row r="40" spans="1:8" x14ac:dyDescent="0.25">
      <c r="A40" s="8">
        <v>45783</v>
      </c>
      <c r="B40" s="81">
        <v>45778</v>
      </c>
      <c r="C40" s="51" t="s">
        <v>151</v>
      </c>
      <c r="D40" s="54">
        <v>45828</v>
      </c>
      <c r="E40" s="55">
        <v>76.900000000000006</v>
      </c>
      <c r="F40" s="85"/>
      <c r="H40" s="38"/>
    </row>
    <row r="41" spans="1:8" x14ac:dyDescent="0.25">
      <c r="A41" s="8">
        <v>45797</v>
      </c>
      <c r="B41" s="4">
        <v>18220</v>
      </c>
      <c r="C41" s="4" t="s">
        <v>89</v>
      </c>
      <c r="D41" s="54">
        <v>45828</v>
      </c>
      <c r="E41" s="55">
        <v>270.25</v>
      </c>
      <c r="F41" s="85"/>
      <c r="H41" s="38"/>
    </row>
    <row r="42" spans="1:8" x14ac:dyDescent="0.25">
      <c r="A42" s="8">
        <v>45797</v>
      </c>
      <c r="B42" s="4">
        <v>25471</v>
      </c>
      <c r="C42" s="4" t="s">
        <v>37</v>
      </c>
      <c r="D42" s="54">
        <v>45828</v>
      </c>
      <c r="E42" s="55">
        <v>89</v>
      </c>
      <c r="F42" s="70"/>
      <c r="H42" s="38"/>
    </row>
    <row r="43" spans="1:8" x14ac:dyDescent="0.25">
      <c r="A43" s="8">
        <v>45798</v>
      </c>
      <c r="B43" s="4">
        <v>1705</v>
      </c>
      <c r="C43" s="4" t="s">
        <v>67</v>
      </c>
      <c r="D43" s="54">
        <v>45828</v>
      </c>
      <c r="E43" s="55">
        <v>413.68</v>
      </c>
      <c r="F43" s="70"/>
      <c r="H43" s="38"/>
    </row>
    <row r="44" spans="1:8" x14ac:dyDescent="0.25">
      <c r="A44" s="8">
        <v>45798</v>
      </c>
      <c r="B44" s="4">
        <v>20281</v>
      </c>
      <c r="C44" s="4" t="s">
        <v>161</v>
      </c>
      <c r="D44" s="54">
        <v>45829</v>
      </c>
      <c r="E44" s="55">
        <v>258</v>
      </c>
      <c r="F44" s="70"/>
      <c r="H44" s="38"/>
    </row>
    <row r="45" spans="1:8" x14ac:dyDescent="0.25">
      <c r="A45" s="8">
        <v>46163</v>
      </c>
      <c r="B45" s="4">
        <v>21642</v>
      </c>
      <c r="C45" s="4" t="s">
        <v>119</v>
      </c>
      <c r="D45" s="54">
        <v>45829</v>
      </c>
      <c r="E45" s="55">
        <v>177.6</v>
      </c>
      <c r="F45" s="70"/>
      <c r="H45" s="38"/>
    </row>
    <row r="46" spans="1:8" x14ac:dyDescent="0.25">
      <c r="A46" s="8">
        <v>45799</v>
      </c>
      <c r="B46" s="4">
        <v>18330</v>
      </c>
      <c r="C46" s="4" t="s">
        <v>89</v>
      </c>
      <c r="D46" s="54">
        <v>45830</v>
      </c>
      <c r="E46" s="55">
        <v>96</v>
      </c>
      <c r="F46" s="70"/>
      <c r="H46" s="38"/>
    </row>
    <row r="47" spans="1:8" x14ac:dyDescent="0.25">
      <c r="A47" s="8">
        <v>45799</v>
      </c>
      <c r="B47" s="4">
        <v>37871</v>
      </c>
      <c r="C47" s="4" t="s">
        <v>228</v>
      </c>
      <c r="D47" s="54">
        <v>45830</v>
      </c>
      <c r="E47" s="55">
        <v>170</v>
      </c>
      <c r="F47" s="70"/>
      <c r="H47" s="38"/>
    </row>
    <row r="48" spans="1:8" x14ac:dyDescent="0.25">
      <c r="A48" s="8">
        <v>45800</v>
      </c>
      <c r="B48" s="4">
        <v>15457</v>
      </c>
      <c r="C48" s="4" t="s">
        <v>121</v>
      </c>
      <c r="D48" s="54">
        <v>45831</v>
      </c>
      <c r="E48" s="55">
        <v>72.760000000000005</v>
      </c>
      <c r="F48" s="70"/>
      <c r="H48" s="38"/>
    </row>
    <row r="49" spans="1:14" x14ac:dyDescent="0.25">
      <c r="A49" s="8">
        <v>45800</v>
      </c>
      <c r="B49" s="78">
        <v>7028</v>
      </c>
      <c r="C49" s="78" t="s">
        <v>37</v>
      </c>
      <c r="D49" s="54">
        <v>45838</v>
      </c>
      <c r="E49" s="55">
        <v>1686.63</v>
      </c>
      <c r="F49" s="85"/>
      <c r="H49" s="38"/>
      <c r="I49" s="4" t="s">
        <v>229</v>
      </c>
      <c r="J49" s="52"/>
    </row>
    <row r="50" spans="1:14" x14ac:dyDescent="0.25">
      <c r="A50" s="8">
        <v>45803</v>
      </c>
      <c r="B50" s="88">
        <v>45749</v>
      </c>
      <c r="C50" s="78" t="s">
        <v>230</v>
      </c>
      <c r="D50" s="54">
        <v>45838</v>
      </c>
      <c r="E50" s="55">
        <v>196.47</v>
      </c>
      <c r="F50" s="70"/>
      <c r="H50" s="38"/>
      <c r="J50" s="89"/>
      <c r="K50" s="89"/>
      <c r="L50" s="89"/>
      <c r="M50" s="89"/>
      <c r="N50" s="89"/>
    </row>
    <row r="51" spans="1:14" x14ac:dyDescent="0.25">
      <c r="A51" s="8">
        <v>45803</v>
      </c>
      <c r="B51" s="78">
        <v>37891</v>
      </c>
      <c r="C51" s="78" t="s">
        <v>228</v>
      </c>
      <c r="D51" s="54">
        <v>45838</v>
      </c>
      <c r="E51" s="55">
        <v>136</v>
      </c>
      <c r="F51" s="56"/>
      <c r="H51" s="38"/>
      <c r="J51" s="89"/>
      <c r="K51" s="89"/>
      <c r="L51" s="89"/>
      <c r="M51" s="89"/>
      <c r="N51" s="89"/>
    </row>
    <row r="52" spans="1:14" x14ac:dyDescent="0.25">
      <c r="A52" s="8">
        <v>45804</v>
      </c>
      <c r="B52" s="78">
        <v>1762</v>
      </c>
      <c r="C52" s="78" t="s">
        <v>67</v>
      </c>
      <c r="D52" s="54">
        <v>45838</v>
      </c>
      <c r="E52" s="55">
        <v>216.7</v>
      </c>
      <c r="F52" s="56"/>
      <c r="H52" s="38"/>
      <c r="J52" s="89"/>
      <c r="K52" s="89"/>
      <c r="L52" s="89"/>
      <c r="M52" s="89"/>
      <c r="N52" s="89"/>
    </row>
    <row r="53" spans="1:14" x14ac:dyDescent="0.25">
      <c r="A53" s="8">
        <v>45804</v>
      </c>
      <c r="B53" s="78">
        <v>1770</v>
      </c>
      <c r="C53" s="78" t="s">
        <v>67</v>
      </c>
      <c r="D53" s="54">
        <v>45838</v>
      </c>
      <c r="E53" s="55">
        <v>295.89999999999998</v>
      </c>
      <c r="F53" s="56"/>
      <c r="H53" s="38"/>
      <c r="J53" s="89"/>
      <c r="K53" s="89"/>
      <c r="L53" s="89"/>
      <c r="M53" s="89"/>
      <c r="N53" s="89"/>
    </row>
    <row r="54" spans="1:14" x14ac:dyDescent="0.25">
      <c r="A54" s="8">
        <v>45799</v>
      </c>
      <c r="B54" s="4">
        <v>37873</v>
      </c>
      <c r="C54" s="4" t="s">
        <v>228</v>
      </c>
      <c r="D54" s="54">
        <v>45922</v>
      </c>
      <c r="E54" s="55">
        <v>51</v>
      </c>
      <c r="F54" s="70"/>
      <c r="H54" s="38"/>
      <c r="J54" s="89"/>
      <c r="K54" s="89"/>
      <c r="L54" s="89"/>
      <c r="M54" s="89"/>
      <c r="N54" s="89"/>
    </row>
    <row r="55" spans="1:14" x14ac:dyDescent="0.25">
      <c r="A55" s="54">
        <v>45810</v>
      </c>
      <c r="B55" s="88">
        <v>45658</v>
      </c>
      <c r="C55" s="78" t="s">
        <v>192</v>
      </c>
      <c r="D55" s="54">
        <v>45810</v>
      </c>
      <c r="E55" s="55">
        <v>105.9</v>
      </c>
      <c r="F55" s="70"/>
      <c r="H55" s="38"/>
      <c r="I55" s="43"/>
      <c r="J55" s="89"/>
      <c r="K55" s="89"/>
      <c r="L55" s="89"/>
      <c r="M55" s="89"/>
      <c r="N55" s="89"/>
    </row>
    <row r="56" spans="1:14" x14ac:dyDescent="0.25">
      <c r="A56" s="29">
        <v>45812</v>
      </c>
      <c r="B56" s="31">
        <v>45658</v>
      </c>
      <c r="C56" s="32" t="s">
        <v>233</v>
      </c>
      <c r="D56" s="29"/>
      <c r="E56" s="33"/>
      <c r="F56" s="70"/>
      <c r="H56" s="28">
        <v>1428</v>
      </c>
      <c r="I56" s="43"/>
      <c r="J56" s="89"/>
      <c r="K56" s="89"/>
      <c r="L56" s="89"/>
      <c r="M56" s="89"/>
      <c r="N56" s="89"/>
    </row>
    <row r="57" spans="1:14" x14ac:dyDescent="0.25">
      <c r="A57" s="29">
        <v>45811</v>
      </c>
      <c r="B57" s="31">
        <v>45658</v>
      </c>
      <c r="C57" s="32" t="s">
        <v>235</v>
      </c>
      <c r="D57" s="29"/>
      <c r="E57" s="33"/>
      <c r="F57" s="70"/>
      <c r="H57" s="28">
        <v>998.41</v>
      </c>
      <c r="I57" s="43"/>
      <c r="J57" s="89"/>
      <c r="K57" s="89"/>
      <c r="L57" s="102"/>
      <c r="M57" s="89"/>
      <c r="N57" s="89"/>
    </row>
    <row r="58" spans="1:14" x14ac:dyDescent="0.25">
      <c r="A58" s="29">
        <v>45813</v>
      </c>
      <c r="B58" s="31">
        <v>45658</v>
      </c>
      <c r="C58" s="32" t="s">
        <v>237</v>
      </c>
      <c r="D58" s="103"/>
      <c r="E58" s="33"/>
      <c r="F58" s="70"/>
      <c r="H58" s="28">
        <v>3039.84</v>
      </c>
      <c r="I58" s="43"/>
      <c r="J58" s="104"/>
      <c r="K58" s="104"/>
      <c r="L58" s="68" t="s">
        <v>239</v>
      </c>
      <c r="M58" s="104"/>
      <c r="N58" s="104"/>
    </row>
    <row r="59" spans="1:14" x14ac:dyDescent="0.25">
      <c r="A59" s="8">
        <v>45811</v>
      </c>
      <c r="B59" s="41">
        <v>45658</v>
      </c>
      <c r="C59" s="4" t="s">
        <v>97</v>
      </c>
      <c r="D59" s="8">
        <v>45811</v>
      </c>
      <c r="E59" s="37">
        <v>89</v>
      </c>
      <c r="F59" s="34"/>
      <c r="H59" s="38"/>
      <c r="I59" s="43"/>
      <c r="J59" s="89"/>
      <c r="K59" s="89"/>
      <c r="L59" s="102"/>
      <c r="M59" s="89"/>
      <c r="N59" s="89"/>
    </row>
    <row r="60" spans="1:14" x14ac:dyDescent="0.25">
      <c r="A60" s="8">
        <v>45813</v>
      </c>
      <c r="B60" s="41">
        <v>45658</v>
      </c>
      <c r="C60" s="4" t="s">
        <v>241</v>
      </c>
      <c r="D60" s="8">
        <v>45813</v>
      </c>
      <c r="E60" s="37">
        <v>2000</v>
      </c>
      <c r="F60" s="34"/>
      <c r="H60" s="38"/>
      <c r="I60" s="43"/>
      <c r="J60" s="89"/>
      <c r="K60" s="89"/>
      <c r="L60" s="102"/>
      <c r="M60" s="89"/>
      <c r="N60" s="89"/>
    </row>
    <row r="61" spans="1:14" x14ac:dyDescent="0.25">
      <c r="A61" s="8">
        <v>45813</v>
      </c>
      <c r="B61" s="41">
        <v>45658</v>
      </c>
      <c r="C61" s="4" t="s">
        <v>242</v>
      </c>
      <c r="D61" s="54">
        <v>45813</v>
      </c>
      <c r="E61" s="37">
        <v>1800</v>
      </c>
      <c r="F61" s="34"/>
      <c r="H61" s="38"/>
      <c r="I61" s="43"/>
      <c r="J61" s="89"/>
      <c r="K61" s="89"/>
      <c r="L61" s="89"/>
      <c r="M61" s="105"/>
      <c r="N61" s="89"/>
    </row>
    <row r="62" spans="1:14" x14ac:dyDescent="0.25">
      <c r="A62" s="8">
        <v>45813</v>
      </c>
      <c r="B62" s="41">
        <v>45658</v>
      </c>
      <c r="C62" s="4" t="s">
        <v>243</v>
      </c>
      <c r="D62" s="54">
        <v>45813</v>
      </c>
      <c r="E62" s="37">
        <v>1100</v>
      </c>
      <c r="F62" s="34"/>
      <c r="H62" s="38"/>
      <c r="I62" s="43"/>
      <c r="J62" s="89"/>
      <c r="K62" s="89"/>
      <c r="L62" s="89"/>
      <c r="M62" s="105"/>
      <c r="N62" s="89"/>
    </row>
    <row r="63" spans="1:14" x14ac:dyDescent="0.25">
      <c r="A63" s="8">
        <v>45813</v>
      </c>
      <c r="B63" s="81">
        <v>45778</v>
      </c>
      <c r="C63" s="4" t="s">
        <v>245</v>
      </c>
      <c r="D63" s="54">
        <v>45813</v>
      </c>
      <c r="E63" s="37">
        <v>800</v>
      </c>
      <c r="F63" s="34"/>
      <c r="H63" s="38"/>
      <c r="I63" s="43"/>
      <c r="J63" s="89"/>
      <c r="K63" s="89"/>
      <c r="L63" s="89"/>
      <c r="M63" s="105"/>
      <c r="N63" s="89"/>
    </row>
    <row r="64" spans="1:14" x14ac:dyDescent="0.25">
      <c r="A64" s="54">
        <v>45813</v>
      </c>
      <c r="B64" s="88">
        <v>45658</v>
      </c>
      <c r="C64" s="78" t="s">
        <v>132</v>
      </c>
      <c r="D64" s="8">
        <v>45813</v>
      </c>
      <c r="E64" s="37">
        <v>81</v>
      </c>
      <c r="F64" s="34"/>
      <c r="H64" s="38"/>
      <c r="I64" s="43"/>
      <c r="J64" s="89"/>
      <c r="K64" s="89"/>
      <c r="L64" s="89"/>
      <c r="M64" s="105"/>
      <c r="N64" s="89"/>
    </row>
    <row r="65" spans="1:14" x14ac:dyDescent="0.25">
      <c r="A65" s="29"/>
      <c r="B65" s="82"/>
      <c r="C65" s="78" t="s">
        <v>249</v>
      </c>
      <c r="D65" s="54">
        <v>45817</v>
      </c>
      <c r="E65" s="37">
        <v>660.3</v>
      </c>
      <c r="F65" s="34"/>
      <c r="H65" s="38"/>
      <c r="I65" s="43"/>
      <c r="J65" s="89"/>
      <c r="K65" s="89"/>
      <c r="L65" s="89"/>
      <c r="M65" s="105"/>
      <c r="N65" s="89"/>
    </row>
    <row r="66" spans="1:14" x14ac:dyDescent="0.25">
      <c r="A66" s="29"/>
      <c r="B66" s="31"/>
      <c r="C66" s="78" t="s">
        <v>248</v>
      </c>
      <c r="D66" s="54">
        <v>45817</v>
      </c>
      <c r="E66" s="37">
        <v>1033.2</v>
      </c>
      <c r="F66" s="34"/>
      <c r="H66" s="38"/>
      <c r="I66" s="43"/>
      <c r="J66" s="89"/>
      <c r="K66" s="89"/>
      <c r="L66" s="89"/>
      <c r="M66" s="105"/>
      <c r="N66" s="89"/>
    </row>
    <row r="67" spans="1:14" x14ac:dyDescent="0.25">
      <c r="A67" s="29"/>
      <c r="B67" s="31"/>
      <c r="C67" s="106" t="s">
        <v>252</v>
      </c>
      <c r="D67" s="108">
        <v>45817</v>
      </c>
      <c r="E67" s="109">
        <v>660.3</v>
      </c>
      <c r="F67" s="85"/>
      <c r="H67" s="38"/>
      <c r="I67" s="43"/>
      <c r="J67" s="89"/>
      <c r="K67" s="89"/>
      <c r="L67" s="89"/>
      <c r="M67" s="105"/>
      <c r="N67" s="89"/>
    </row>
    <row r="68" spans="1:14" x14ac:dyDescent="0.25">
      <c r="A68" s="29">
        <v>45828</v>
      </c>
      <c r="B68" s="31"/>
      <c r="C68" s="32" t="s">
        <v>254</v>
      </c>
      <c r="D68" s="29">
        <v>45828</v>
      </c>
      <c r="E68" s="55"/>
      <c r="F68" s="85"/>
      <c r="H68" s="28">
        <v>660.3</v>
      </c>
      <c r="I68" s="43"/>
      <c r="J68" s="89"/>
      <c r="K68" s="89"/>
      <c r="L68" s="89"/>
      <c r="M68" s="105"/>
      <c r="N68" s="89"/>
    </row>
    <row r="69" spans="1:14" x14ac:dyDescent="0.25">
      <c r="A69" s="29"/>
      <c r="B69" s="31"/>
      <c r="C69" s="78" t="s">
        <v>250</v>
      </c>
      <c r="D69" s="54">
        <v>45817</v>
      </c>
      <c r="E69" s="55">
        <v>460</v>
      </c>
      <c r="F69" s="85"/>
      <c r="H69" s="38"/>
      <c r="I69" s="43"/>
      <c r="J69" s="89"/>
      <c r="K69" s="89"/>
      <c r="L69" s="89"/>
      <c r="M69" s="105"/>
      <c r="N69" s="89"/>
    </row>
    <row r="70" spans="1:14" x14ac:dyDescent="0.25">
      <c r="A70" s="8">
        <v>45814</v>
      </c>
      <c r="B70" s="41">
        <v>45658</v>
      </c>
      <c r="C70" s="4" t="s">
        <v>255</v>
      </c>
      <c r="D70" s="54">
        <v>45814</v>
      </c>
      <c r="E70" s="37">
        <v>80</v>
      </c>
      <c r="F70" s="85"/>
      <c r="H70" s="38"/>
      <c r="I70" s="43"/>
      <c r="J70" s="89"/>
      <c r="K70" s="89"/>
      <c r="L70" s="89"/>
      <c r="M70" s="105"/>
      <c r="N70" s="89"/>
    </row>
    <row r="71" spans="1:14" x14ac:dyDescent="0.25">
      <c r="A71" s="8">
        <v>45814</v>
      </c>
      <c r="B71" s="41">
        <v>45658</v>
      </c>
      <c r="C71" s="4" t="s">
        <v>256</v>
      </c>
      <c r="D71" s="54">
        <v>45814</v>
      </c>
      <c r="E71" s="34">
        <v>50</v>
      </c>
      <c r="F71" s="85"/>
      <c r="H71" s="38"/>
      <c r="I71" s="43"/>
      <c r="J71" s="89"/>
      <c r="K71" s="89"/>
      <c r="L71" s="89"/>
      <c r="M71" s="105"/>
      <c r="N71" s="89"/>
    </row>
    <row r="72" spans="1:14" x14ac:dyDescent="0.25">
      <c r="A72" s="8">
        <v>45814</v>
      </c>
      <c r="B72" s="4">
        <v>43582</v>
      </c>
      <c r="C72" s="4" t="s">
        <v>223</v>
      </c>
      <c r="D72" s="54">
        <v>45817</v>
      </c>
      <c r="E72" s="37">
        <v>83.5</v>
      </c>
      <c r="F72" s="85"/>
      <c r="H72" s="38"/>
      <c r="I72" s="43"/>
      <c r="J72" s="89"/>
      <c r="K72" s="89"/>
      <c r="L72" s="89"/>
      <c r="M72" s="105"/>
      <c r="N72" s="89"/>
    </row>
    <row r="73" spans="1:14" x14ac:dyDescent="0.25">
      <c r="A73" s="29">
        <v>45818</v>
      </c>
      <c r="B73" s="31">
        <v>45690</v>
      </c>
      <c r="C73" s="32" t="s">
        <v>205</v>
      </c>
      <c r="D73" s="54"/>
      <c r="E73" s="34"/>
      <c r="F73" s="56"/>
      <c r="H73" s="28">
        <v>110</v>
      </c>
      <c r="I73" s="43"/>
      <c r="J73" s="89"/>
      <c r="K73" s="89"/>
      <c r="L73" s="89"/>
      <c r="M73" s="105"/>
      <c r="N73" s="89"/>
    </row>
    <row r="74" spans="1:14" x14ac:dyDescent="0.25">
      <c r="A74" s="8">
        <v>45814</v>
      </c>
      <c r="B74" s="4">
        <v>183296</v>
      </c>
      <c r="C74" s="4" t="s">
        <v>258</v>
      </c>
      <c r="D74" s="54">
        <v>45818</v>
      </c>
      <c r="E74" s="37">
        <v>110</v>
      </c>
      <c r="F74" s="56"/>
      <c r="H74" s="38"/>
      <c r="I74" s="43"/>
      <c r="J74" s="89"/>
      <c r="K74" s="89"/>
      <c r="L74" s="89"/>
      <c r="M74" s="105"/>
      <c r="N74" s="89"/>
    </row>
    <row r="75" spans="1:14" x14ac:dyDescent="0.25">
      <c r="A75" s="8">
        <v>45817</v>
      </c>
      <c r="B75" s="41">
        <v>45658</v>
      </c>
      <c r="C75" s="4" t="s">
        <v>260</v>
      </c>
      <c r="D75" s="54">
        <v>45817</v>
      </c>
      <c r="E75" s="37">
        <v>50</v>
      </c>
      <c r="F75" s="70"/>
      <c r="H75" s="38"/>
      <c r="I75" s="43"/>
      <c r="J75" s="89"/>
      <c r="K75" s="89"/>
      <c r="L75" s="89"/>
      <c r="M75" s="105"/>
      <c r="N75" s="89"/>
    </row>
    <row r="76" spans="1:14" x14ac:dyDescent="0.25">
      <c r="A76" s="8">
        <v>45817</v>
      </c>
      <c r="B76" s="41">
        <v>45658</v>
      </c>
      <c r="C76" s="4" t="s">
        <v>265</v>
      </c>
      <c r="D76" s="54">
        <v>45817</v>
      </c>
      <c r="E76" s="37">
        <v>60</v>
      </c>
      <c r="F76" s="70"/>
      <c r="H76" s="38"/>
      <c r="I76" s="43"/>
      <c r="J76" s="89"/>
      <c r="K76" s="89"/>
      <c r="L76" s="89"/>
      <c r="M76" s="105"/>
      <c r="N76" s="89"/>
    </row>
    <row r="77" spans="1:14" x14ac:dyDescent="0.25">
      <c r="A77" s="29">
        <v>45817</v>
      </c>
      <c r="B77" s="31">
        <v>45690</v>
      </c>
      <c r="C77" s="32" t="s">
        <v>92</v>
      </c>
      <c r="D77" s="103"/>
      <c r="E77" s="33"/>
      <c r="F77" s="70"/>
      <c r="H77" s="28">
        <v>1410.1</v>
      </c>
      <c r="I77" s="43"/>
      <c r="J77" s="89"/>
      <c r="K77" s="89"/>
      <c r="L77" s="89"/>
      <c r="M77" s="105"/>
      <c r="N77" s="89"/>
    </row>
    <row r="78" spans="1:14" x14ac:dyDescent="0.25">
      <c r="A78" s="8">
        <v>45817</v>
      </c>
      <c r="B78" s="81">
        <v>45778</v>
      </c>
      <c r="C78" s="4" t="s">
        <v>266</v>
      </c>
      <c r="D78" s="54">
        <v>45818</v>
      </c>
      <c r="E78" s="37">
        <v>628.59</v>
      </c>
      <c r="F78" s="70"/>
      <c r="H78" s="38"/>
      <c r="I78" s="43"/>
      <c r="J78" s="89"/>
      <c r="K78" s="89"/>
      <c r="L78" s="89"/>
      <c r="M78" s="105"/>
      <c r="N78" s="89"/>
    </row>
    <row r="79" spans="1:14" x14ac:dyDescent="0.25">
      <c r="A79" s="8">
        <v>45817</v>
      </c>
      <c r="B79" s="4">
        <v>22383</v>
      </c>
      <c r="C79" s="51" t="s">
        <v>268</v>
      </c>
      <c r="D79" s="8">
        <v>45847</v>
      </c>
      <c r="E79" s="37">
        <v>100</v>
      </c>
      <c r="F79" s="34"/>
      <c r="H79" s="38"/>
      <c r="I79" s="43"/>
      <c r="J79" s="89"/>
      <c r="K79" s="89"/>
      <c r="L79" s="89"/>
      <c r="M79" s="105"/>
      <c r="N79" s="89"/>
    </row>
    <row r="80" spans="1:14" x14ac:dyDescent="0.25">
      <c r="A80" s="54">
        <v>45819</v>
      </c>
      <c r="B80" s="88">
        <v>45690</v>
      </c>
      <c r="C80" s="78" t="s">
        <v>269</v>
      </c>
      <c r="D80" s="54">
        <v>45819</v>
      </c>
      <c r="E80" s="55">
        <v>70</v>
      </c>
      <c r="F80" s="70"/>
      <c r="H80" s="38"/>
      <c r="I80" s="43"/>
      <c r="J80" s="89"/>
      <c r="K80" s="89"/>
      <c r="L80" s="89"/>
      <c r="M80" s="105"/>
      <c r="N80" s="89"/>
    </row>
    <row r="81" spans="1:14" x14ac:dyDescent="0.25">
      <c r="A81" s="54">
        <v>45819</v>
      </c>
      <c r="B81" s="78">
        <v>3524</v>
      </c>
      <c r="C81" s="78" t="s">
        <v>271</v>
      </c>
      <c r="D81" s="54">
        <v>45819</v>
      </c>
      <c r="E81" s="37">
        <v>52.36</v>
      </c>
      <c r="F81" s="70"/>
      <c r="H81" s="38"/>
      <c r="I81" s="43"/>
      <c r="J81" s="89"/>
      <c r="K81" s="89"/>
      <c r="L81" s="89"/>
      <c r="M81" s="105"/>
      <c r="N81" s="89"/>
    </row>
    <row r="82" spans="1:14" x14ac:dyDescent="0.25">
      <c r="A82" s="54">
        <v>45819</v>
      </c>
      <c r="B82" s="88">
        <v>45658</v>
      </c>
      <c r="C82" s="78" t="s">
        <v>225</v>
      </c>
      <c r="D82" s="54">
        <v>45819</v>
      </c>
      <c r="E82" s="37">
        <v>235</v>
      </c>
      <c r="F82" s="70"/>
      <c r="H82" s="38"/>
      <c r="I82" s="43"/>
      <c r="J82" s="89"/>
      <c r="K82" s="89"/>
      <c r="L82" s="89"/>
      <c r="M82" s="105"/>
      <c r="N82" s="89"/>
    </row>
    <row r="83" spans="1:14" x14ac:dyDescent="0.25">
      <c r="A83" s="54">
        <v>45819</v>
      </c>
      <c r="B83" s="88">
        <v>45658</v>
      </c>
      <c r="C83" s="78" t="s">
        <v>273</v>
      </c>
      <c r="D83" s="54">
        <v>45819</v>
      </c>
      <c r="E83" s="37">
        <v>800</v>
      </c>
      <c r="F83" s="70"/>
      <c r="H83" s="38"/>
      <c r="I83" s="43"/>
      <c r="J83" s="89"/>
      <c r="K83" s="89"/>
      <c r="L83" s="89"/>
      <c r="M83" s="105"/>
      <c r="N83" s="89"/>
    </row>
    <row r="84" spans="1:14" x14ac:dyDescent="0.25">
      <c r="A84" s="54">
        <v>45819</v>
      </c>
      <c r="B84" s="88">
        <v>45658</v>
      </c>
      <c r="C84" s="78" t="s">
        <v>274</v>
      </c>
      <c r="D84" s="54">
        <v>45819</v>
      </c>
      <c r="E84" s="37">
        <v>100</v>
      </c>
      <c r="F84" s="70"/>
      <c r="H84" s="38"/>
      <c r="I84" s="43"/>
      <c r="J84" s="89"/>
      <c r="K84" s="89"/>
      <c r="L84" s="89"/>
      <c r="M84" s="105"/>
      <c r="N84" s="89"/>
    </row>
    <row r="85" spans="1:14" x14ac:dyDescent="0.25">
      <c r="A85" s="54">
        <v>45821</v>
      </c>
      <c r="B85" s="88">
        <v>45658</v>
      </c>
      <c r="C85" s="78" t="s">
        <v>276</v>
      </c>
      <c r="D85" s="54">
        <v>45819</v>
      </c>
      <c r="E85" s="37">
        <v>195</v>
      </c>
      <c r="F85" s="70"/>
      <c r="H85" s="38"/>
      <c r="I85" s="43"/>
      <c r="J85" s="89"/>
      <c r="K85" s="89"/>
      <c r="L85" s="89"/>
      <c r="M85" s="105"/>
      <c r="N85" s="89"/>
    </row>
    <row r="86" spans="1:14" x14ac:dyDescent="0.25">
      <c r="A86" s="54">
        <v>45821</v>
      </c>
      <c r="B86" s="78">
        <v>87747</v>
      </c>
      <c r="C86" s="78" t="s">
        <v>277</v>
      </c>
      <c r="D86" s="112" t="s">
        <v>278</v>
      </c>
      <c r="E86" s="37">
        <v>59.8</v>
      </c>
      <c r="F86" s="70"/>
      <c r="H86" s="38"/>
      <c r="I86" s="43"/>
      <c r="J86" s="89"/>
      <c r="K86" s="89"/>
      <c r="L86" s="89"/>
      <c r="M86" s="105"/>
      <c r="N86" s="89"/>
    </row>
    <row r="87" spans="1:14" x14ac:dyDescent="0.25">
      <c r="A87" s="29">
        <v>45824</v>
      </c>
      <c r="B87" s="31">
        <v>45719</v>
      </c>
      <c r="C87" s="32" t="s">
        <v>92</v>
      </c>
      <c r="D87" s="103"/>
      <c r="E87" s="33"/>
      <c r="F87" s="70"/>
      <c r="H87" s="28">
        <v>1494.2</v>
      </c>
      <c r="I87" s="43"/>
      <c r="J87" s="89"/>
      <c r="K87" s="89"/>
      <c r="L87" s="89"/>
      <c r="M87" s="105"/>
      <c r="N87" s="89"/>
    </row>
    <row r="88" spans="1:14" x14ac:dyDescent="0.25">
      <c r="A88" s="29">
        <v>45824</v>
      </c>
      <c r="B88" s="31">
        <v>45690</v>
      </c>
      <c r="C88" s="32" t="s">
        <v>235</v>
      </c>
      <c r="D88" s="103"/>
      <c r="E88" s="34"/>
      <c r="F88" s="70"/>
      <c r="H88" s="28">
        <v>1230</v>
      </c>
      <c r="I88" s="43"/>
      <c r="J88" s="89"/>
      <c r="K88" s="89"/>
      <c r="L88" s="89"/>
      <c r="M88" s="105"/>
      <c r="N88" s="89"/>
    </row>
    <row r="89" spans="1:14" x14ac:dyDescent="0.25">
      <c r="A89" s="17">
        <v>45825</v>
      </c>
      <c r="B89" s="31">
        <v>45658</v>
      </c>
      <c r="C89" s="32" t="s">
        <v>233</v>
      </c>
      <c r="D89" s="54"/>
      <c r="E89" s="85"/>
      <c r="F89" s="70"/>
      <c r="H89" s="28">
        <v>1428</v>
      </c>
      <c r="I89" s="43"/>
      <c r="J89" s="89"/>
      <c r="K89" s="89"/>
      <c r="L89" s="89"/>
      <c r="M89" s="105"/>
      <c r="N89" s="89"/>
    </row>
    <row r="90" spans="1:14" x14ac:dyDescent="0.25">
      <c r="A90" s="17">
        <v>45825</v>
      </c>
      <c r="B90" s="31">
        <v>45719</v>
      </c>
      <c r="C90" s="32" t="s">
        <v>235</v>
      </c>
      <c r="D90" s="54"/>
      <c r="E90" s="85"/>
      <c r="F90" s="70"/>
      <c r="H90" s="28">
        <v>555.65</v>
      </c>
      <c r="I90" s="43"/>
      <c r="J90" s="89"/>
      <c r="K90" s="89"/>
      <c r="L90" s="89"/>
      <c r="M90" s="105"/>
      <c r="N90" s="89"/>
    </row>
    <row r="91" spans="1:14" x14ac:dyDescent="0.25">
      <c r="A91" s="45">
        <v>45825</v>
      </c>
      <c r="B91" s="88">
        <v>45658</v>
      </c>
      <c r="C91" s="4" t="s">
        <v>223</v>
      </c>
      <c r="D91" s="54">
        <v>45825</v>
      </c>
      <c r="E91" s="55">
        <v>35</v>
      </c>
      <c r="F91" s="70"/>
      <c r="H91" s="38"/>
      <c r="I91" s="43"/>
      <c r="J91" s="89"/>
      <c r="K91" s="89"/>
      <c r="L91" s="89"/>
      <c r="M91" s="105"/>
      <c r="N91" s="89"/>
    </row>
    <row r="92" spans="1:14" x14ac:dyDescent="0.25">
      <c r="A92" s="45">
        <v>45824</v>
      </c>
      <c r="B92" s="88">
        <v>45658</v>
      </c>
      <c r="C92" s="4" t="s">
        <v>284</v>
      </c>
      <c r="D92" s="54">
        <v>45824</v>
      </c>
      <c r="E92" s="55">
        <v>12.5</v>
      </c>
      <c r="F92" s="70"/>
      <c r="H92" s="38"/>
      <c r="I92" s="43"/>
      <c r="J92" s="89"/>
      <c r="K92" s="89"/>
      <c r="L92" s="89"/>
      <c r="M92" s="105"/>
      <c r="N92" s="89"/>
    </row>
    <row r="93" spans="1:14" x14ac:dyDescent="0.25">
      <c r="A93" s="45">
        <v>45824</v>
      </c>
      <c r="B93" s="81">
        <v>45778</v>
      </c>
      <c r="C93" s="4" t="s">
        <v>275</v>
      </c>
      <c r="D93" s="54">
        <v>45828</v>
      </c>
      <c r="E93" s="55">
        <v>310.64</v>
      </c>
      <c r="F93" s="70"/>
      <c r="H93" s="38"/>
      <c r="I93" s="43"/>
      <c r="J93" s="89"/>
      <c r="K93" s="89"/>
      <c r="L93" s="89"/>
      <c r="M93" s="105"/>
      <c r="N93" s="89"/>
    </row>
    <row r="94" spans="1:14" x14ac:dyDescent="0.25">
      <c r="A94" s="8">
        <v>45824</v>
      </c>
      <c r="B94" s="81">
        <v>45778</v>
      </c>
      <c r="C94" s="4" t="s">
        <v>288</v>
      </c>
      <c r="D94" s="54">
        <v>45828</v>
      </c>
      <c r="E94" s="55">
        <v>1098.76</v>
      </c>
      <c r="F94" s="70"/>
      <c r="H94" s="38"/>
      <c r="I94" s="43"/>
      <c r="J94" s="89"/>
      <c r="K94" s="89"/>
      <c r="L94" s="89"/>
      <c r="M94" s="105"/>
      <c r="N94" s="89"/>
    </row>
    <row r="95" spans="1:14" x14ac:dyDescent="0.25">
      <c r="A95" s="8">
        <v>45828</v>
      </c>
      <c r="B95" s="41">
        <v>45658</v>
      </c>
      <c r="C95" s="4" t="s">
        <v>289</v>
      </c>
      <c r="D95" s="54">
        <v>45828</v>
      </c>
      <c r="E95" s="55">
        <v>853.7</v>
      </c>
      <c r="F95" s="70"/>
      <c r="H95" s="38"/>
      <c r="I95" s="43"/>
      <c r="J95" s="89"/>
      <c r="K95" s="89"/>
      <c r="L95" s="89"/>
      <c r="M95" s="105"/>
      <c r="N95" s="89"/>
    </row>
    <row r="96" spans="1:14" x14ac:dyDescent="0.25">
      <c r="A96" s="29">
        <v>45828</v>
      </c>
      <c r="B96" s="31">
        <v>45658</v>
      </c>
      <c r="C96" s="32" t="s">
        <v>205</v>
      </c>
      <c r="D96" s="54"/>
      <c r="E96" s="85"/>
      <c r="F96" s="85"/>
      <c r="H96" s="38">
        <v>3706.9</v>
      </c>
      <c r="I96" s="43"/>
      <c r="J96" s="89"/>
      <c r="K96" s="89"/>
      <c r="L96" s="89"/>
      <c r="M96" s="105"/>
      <c r="N96" s="89"/>
    </row>
    <row r="97" spans="1:14" x14ac:dyDescent="0.25">
      <c r="A97" s="8">
        <v>45828</v>
      </c>
      <c r="B97" s="41">
        <v>45658</v>
      </c>
      <c r="C97" s="78" t="s">
        <v>178</v>
      </c>
      <c r="D97" s="54">
        <v>45828</v>
      </c>
      <c r="E97" s="85">
        <v>630</v>
      </c>
      <c r="F97" s="85"/>
      <c r="H97" s="38"/>
      <c r="I97" s="43"/>
      <c r="J97" s="89"/>
      <c r="K97" s="89"/>
      <c r="L97" s="89"/>
      <c r="M97" s="105"/>
      <c r="N97" s="89"/>
    </row>
    <row r="98" spans="1:14" x14ac:dyDescent="0.25">
      <c r="A98" s="8">
        <v>45825</v>
      </c>
      <c r="B98" s="4">
        <v>12574</v>
      </c>
      <c r="C98" s="78" t="s">
        <v>296</v>
      </c>
      <c r="D98" s="54">
        <v>45832</v>
      </c>
      <c r="E98" s="55">
        <v>9.52</v>
      </c>
      <c r="F98" s="85"/>
      <c r="H98" s="38"/>
      <c r="I98" s="43"/>
      <c r="J98" s="89"/>
      <c r="K98" s="89"/>
      <c r="L98" s="89"/>
      <c r="M98" s="105"/>
      <c r="N98" s="89"/>
    </row>
    <row r="99" spans="1:14" x14ac:dyDescent="0.25">
      <c r="A99" s="8">
        <v>45814</v>
      </c>
      <c r="B99" s="41">
        <v>45658</v>
      </c>
      <c r="C99" s="4" t="s">
        <v>300</v>
      </c>
      <c r="D99" s="54">
        <v>45828</v>
      </c>
      <c r="E99" s="34">
        <v>3000</v>
      </c>
      <c r="F99" s="70"/>
      <c r="H99" s="38"/>
      <c r="I99" s="43"/>
      <c r="J99" s="89"/>
      <c r="K99" s="89"/>
      <c r="L99" s="89"/>
      <c r="M99" s="105"/>
      <c r="N99" s="89"/>
    </row>
    <row r="100" spans="1:14" x14ac:dyDescent="0.25">
      <c r="C100" s="4" t="s">
        <v>300</v>
      </c>
      <c r="D100" s="103">
        <v>45828</v>
      </c>
      <c r="E100" s="70">
        <v>2000</v>
      </c>
      <c r="F100" s="70"/>
      <c r="H100" s="38"/>
      <c r="I100" s="43"/>
      <c r="J100" s="89"/>
      <c r="K100" s="89"/>
      <c r="L100" s="89"/>
      <c r="M100" s="105"/>
      <c r="N100" s="89"/>
    </row>
    <row r="101" spans="1:14" x14ac:dyDescent="0.25">
      <c r="A101" s="8">
        <v>45828</v>
      </c>
      <c r="B101" s="41">
        <v>45658</v>
      </c>
      <c r="C101" s="78" t="s">
        <v>301</v>
      </c>
      <c r="D101" s="54">
        <v>45828</v>
      </c>
      <c r="E101" s="55">
        <v>307.2</v>
      </c>
      <c r="F101" s="70"/>
      <c r="H101" s="38"/>
      <c r="I101" s="89"/>
      <c r="J101" s="89"/>
      <c r="K101" s="89"/>
      <c r="L101" s="89"/>
      <c r="M101" s="89"/>
      <c r="N101" s="89"/>
    </row>
    <row r="102" spans="1:14" x14ac:dyDescent="0.25">
      <c r="A102" s="29">
        <v>45831</v>
      </c>
      <c r="B102" s="31">
        <v>45751</v>
      </c>
      <c r="C102" s="32" t="s">
        <v>92</v>
      </c>
      <c r="D102" s="29">
        <v>45831</v>
      </c>
      <c r="E102" s="38"/>
      <c r="F102" s="38"/>
      <c r="H102" s="28">
        <v>1721.52</v>
      </c>
      <c r="I102" s="125"/>
      <c r="J102" s="104"/>
      <c r="K102" s="104"/>
      <c r="L102" s="104"/>
      <c r="M102" s="104"/>
      <c r="N102" s="104"/>
    </row>
    <row r="103" spans="1:14" x14ac:dyDescent="0.25">
      <c r="A103" s="8">
        <v>45831</v>
      </c>
      <c r="B103" s="41">
        <v>45658</v>
      </c>
      <c r="C103" s="4" t="s">
        <v>274</v>
      </c>
      <c r="D103" s="8">
        <v>45831</v>
      </c>
      <c r="E103" s="37">
        <v>100</v>
      </c>
      <c r="F103" s="34"/>
      <c r="H103" s="38"/>
      <c r="I103" s="125"/>
      <c r="J103" s="104"/>
      <c r="K103" s="104"/>
      <c r="L103" s="104"/>
      <c r="M103" s="104"/>
      <c r="N103" s="104"/>
    </row>
    <row r="104" spans="1:14" x14ac:dyDescent="0.25">
      <c r="A104" s="29">
        <v>45832</v>
      </c>
      <c r="B104" s="31">
        <v>45690</v>
      </c>
      <c r="C104" s="32" t="s">
        <v>205</v>
      </c>
      <c r="D104" s="29"/>
      <c r="E104" s="38"/>
      <c r="F104" s="34"/>
      <c r="H104" s="38">
        <v>2240</v>
      </c>
      <c r="I104" s="68"/>
      <c r="J104" s="104"/>
      <c r="K104" s="104"/>
      <c r="L104" s="104"/>
      <c r="M104" s="104"/>
      <c r="N104" s="104"/>
    </row>
    <row r="105" spans="1:14" x14ac:dyDescent="0.25">
      <c r="A105" s="29">
        <v>45832</v>
      </c>
      <c r="B105" s="31">
        <v>45658</v>
      </c>
      <c r="C105" s="32" t="s">
        <v>307</v>
      </c>
      <c r="D105" s="29">
        <v>45832</v>
      </c>
      <c r="E105" s="38"/>
      <c r="F105" s="34"/>
      <c r="H105" s="28">
        <v>1000</v>
      </c>
      <c r="I105" s="68" t="s">
        <v>309</v>
      </c>
      <c r="J105" s="104"/>
      <c r="K105" s="104"/>
      <c r="L105" s="104"/>
      <c r="M105" s="104"/>
      <c r="N105" s="104"/>
    </row>
    <row r="106" spans="1:14" x14ac:dyDescent="0.25">
      <c r="A106" s="8">
        <v>45832</v>
      </c>
      <c r="B106" s="41">
        <v>45658</v>
      </c>
      <c r="C106" s="4" t="s">
        <v>97</v>
      </c>
      <c r="D106" s="8">
        <v>45832</v>
      </c>
      <c r="E106" s="37">
        <v>110</v>
      </c>
      <c r="F106" s="34"/>
      <c r="H106" s="38"/>
      <c r="I106" s="104"/>
      <c r="J106" s="104"/>
      <c r="K106" s="125" t="s">
        <v>314</v>
      </c>
      <c r="L106" s="104"/>
      <c r="M106" s="104"/>
      <c r="N106" s="104"/>
    </row>
    <row r="107" spans="1:14" x14ac:dyDescent="0.25">
      <c r="A107" s="8">
        <v>45832</v>
      </c>
      <c r="B107" s="41">
        <v>45658</v>
      </c>
      <c r="C107" s="4" t="s">
        <v>181</v>
      </c>
      <c r="D107" s="54">
        <v>45832</v>
      </c>
      <c r="E107" s="85">
        <v>360</v>
      </c>
      <c r="F107" s="85"/>
      <c r="H107" s="38"/>
      <c r="I107" s="104"/>
      <c r="J107" s="126"/>
      <c r="K107" s="125" t="s">
        <v>318</v>
      </c>
      <c r="L107" s="104"/>
      <c r="M107" s="104"/>
      <c r="N107" s="104"/>
    </row>
    <row r="108" spans="1:14" x14ac:dyDescent="0.25">
      <c r="A108" s="8">
        <v>45832</v>
      </c>
      <c r="B108" s="41">
        <v>45658</v>
      </c>
      <c r="C108" s="4" t="s">
        <v>320</v>
      </c>
      <c r="D108" s="8">
        <v>45832</v>
      </c>
      <c r="E108" s="37">
        <v>40</v>
      </c>
      <c r="F108" s="34"/>
      <c r="H108" s="38"/>
      <c r="I108" s="104"/>
      <c r="J108" s="126"/>
      <c r="K108" s="125" t="s">
        <v>321</v>
      </c>
      <c r="L108" s="104"/>
      <c r="M108" s="104"/>
      <c r="N108" s="104"/>
    </row>
    <row r="109" spans="1:14" x14ac:dyDescent="0.25">
      <c r="A109" s="8">
        <v>45832</v>
      </c>
      <c r="B109" s="88">
        <v>45658</v>
      </c>
      <c r="C109" s="78" t="s">
        <v>325</v>
      </c>
      <c r="D109" s="54">
        <v>45832</v>
      </c>
      <c r="E109" s="55">
        <v>70</v>
      </c>
      <c r="F109" s="56"/>
      <c r="H109" s="38"/>
      <c r="I109" s="104"/>
      <c r="J109" s="126"/>
      <c r="K109" s="125" t="s">
        <v>326</v>
      </c>
      <c r="L109" s="104"/>
      <c r="M109" s="104"/>
      <c r="N109" s="104"/>
    </row>
    <row r="110" spans="1:14" x14ac:dyDescent="0.25">
      <c r="A110" s="8">
        <v>45832</v>
      </c>
      <c r="B110" s="78">
        <v>9278265</v>
      </c>
      <c r="C110" s="78" t="s">
        <v>299</v>
      </c>
      <c r="D110" s="54">
        <v>45832</v>
      </c>
      <c r="E110" s="55">
        <v>185</v>
      </c>
      <c r="F110" s="56"/>
      <c r="H110" s="38"/>
      <c r="I110" s="104"/>
      <c r="J110" s="126"/>
      <c r="K110" s="132" t="s">
        <v>327</v>
      </c>
      <c r="L110" s="104"/>
      <c r="M110" s="104"/>
      <c r="N110" s="104"/>
    </row>
    <row r="111" spans="1:14" x14ac:dyDescent="0.25">
      <c r="A111" s="8">
        <v>45833</v>
      </c>
      <c r="B111" s="78">
        <v>14690</v>
      </c>
      <c r="C111" s="78" t="s">
        <v>128</v>
      </c>
      <c r="D111" s="54">
        <v>45833</v>
      </c>
      <c r="E111" s="55">
        <v>28</v>
      </c>
      <c r="F111" s="56"/>
      <c r="H111" s="38"/>
      <c r="I111" s="104"/>
      <c r="J111" s="126"/>
      <c r="K111" s="134">
        <v>45838</v>
      </c>
      <c r="L111" s="132" t="s">
        <v>330</v>
      </c>
      <c r="M111" s="135"/>
      <c r="N111" s="104"/>
    </row>
    <row r="112" spans="1:14" x14ac:dyDescent="0.25">
      <c r="A112" s="8">
        <v>45833</v>
      </c>
      <c r="B112" s="88">
        <v>45658</v>
      </c>
      <c r="C112" s="78" t="s">
        <v>333</v>
      </c>
      <c r="D112" s="54">
        <v>45833</v>
      </c>
      <c r="E112" s="55">
        <v>31.99</v>
      </c>
      <c r="F112" s="56"/>
      <c r="H112" s="38"/>
      <c r="I112" s="104"/>
      <c r="J112" s="126"/>
      <c r="K112" s="132" t="s">
        <v>334</v>
      </c>
      <c r="L112" s="135"/>
      <c r="M112" s="135"/>
      <c r="N112" s="104"/>
    </row>
    <row r="113" spans="1:14" x14ac:dyDescent="0.25">
      <c r="A113" s="8">
        <v>45833</v>
      </c>
      <c r="B113" s="88">
        <v>45658</v>
      </c>
      <c r="C113" s="78" t="s">
        <v>333</v>
      </c>
      <c r="D113" s="54">
        <v>45833</v>
      </c>
      <c r="E113" s="55">
        <v>23.98</v>
      </c>
      <c r="F113" s="56"/>
      <c r="H113" s="38"/>
      <c r="I113" s="104"/>
      <c r="J113" s="126"/>
      <c r="K113" s="134">
        <v>45841</v>
      </c>
      <c r="L113" s="132" t="s">
        <v>330</v>
      </c>
      <c r="M113" s="135"/>
      <c r="N113" s="104"/>
    </row>
    <row r="114" spans="1:14" x14ac:dyDescent="0.25">
      <c r="A114" s="8">
        <v>45834</v>
      </c>
      <c r="B114" s="78">
        <v>115313</v>
      </c>
      <c r="C114" s="78" t="s">
        <v>103</v>
      </c>
      <c r="D114" s="54">
        <v>45834</v>
      </c>
      <c r="E114" s="55">
        <v>206.86</v>
      </c>
      <c r="F114" s="56"/>
      <c r="H114" s="38"/>
      <c r="I114" s="104"/>
      <c r="J114" s="126"/>
      <c r="K114" s="125"/>
      <c r="L114" s="104"/>
      <c r="M114" s="104"/>
      <c r="N114" s="104"/>
    </row>
    <row r="115" spans="1:14" x14ac:dyDescent="0.25">
      <c r="A115" s="29">
        <v>45834</v>
      </c>
      <c r="B115" s="31">
        <v>45690</v>
      </c>
      <c r="C115" s="32" t="s">
        <v>233</v>
      </c>
      <c r="D115" s="29">
        <v>45834</v>
      </c>
      <c r="E115" s="77"/>
      <c r="F115" s="34"/>
      <c r="H115" s="28">
        <v>15347.6</v>
      </c>
      <c r="J115" s="4"/>
    </row>
    <row r="116" spans="1:14" x14ac:dyDescent="0.25">
      <c r="A116" s="8">
        <v>45834</v>
      </c>
      <c r="B116" s="4">
        <v>115335</v>
      </c>
      <c r="C116" s="4" t="s">
        <v>103</v>
      </c>
      <c r="D116" s="8">
        <v>45834</v>
      </c>
      <c r="E116" s="37">
        <v>135.88</v>
      </c>
      <c r="F116" s="34"/>
      <c r="H116" s="38"/>
    </row>
    <row r="117" spans="1:14" ht="15.75" customHeight="1" x14ac:dyDescent="0.25">
      <c r="A117" s="8">
        <v>45834</v>
      </c>
      <c r="B117" s="41">
        <v>45658</v>
      </c>
      <c r="C117" s="4" t="s">
        <v>341</v>
      </c>
      <c r="D117" s="54">
        <v>45834</v>
      </c>
      <c r="E117" s="55">
        <v>19</v>
      </c>
      <c r="F117" s="70"/>
      <c r="H117" s="38"/>
    </row>
    <row r="118" spans="1:14" ht="15.75" customHeight="1" x14ac:dyDescent="0.25">
      <c r="A118" s="8">
        <v>45834</v>
      </c>
      <c r="B118" s="41">
        <v>45658</v>
      </c>
      <c r="C118" s="4" t="s">
        <v>342</v>
      </c>
      <c r="D118" s="8">
        <v>45834</v>
      </c>
      <c r="E118" s="37">
        <v>12.5</v>
      </c>
      <c r="F118" s="34"/>
      <c r="H118" s="38"/>
    </row>
    <row r="119" spans="1:14" ht="15.75" customHeight="1" x14ac:dyDescent="0.25">
      <c r="A119" s="8">
        <v>45835</v>
      </c>
      <c r="B119" s="41">
        <v>45658</v>
      </c>
      <c r="C119" s="4" t="s">
        <v>343</v>
      </c>
      <c r="D119" s="8">
        <v>45835</v>
      </c>
      <c r="E119" s="37">
        <v>58.64</v>
      </c>
      <c r="F119" s="34"/>
      <c r="H119" s="38"/>
    </row>
    <row r="120" spans="1:14" ht="15.75" customHeight="1" x14ac:dyDescent="0.25">
      <c r="A120" s="8">
        <v>45835</v>
      </c>
      <c r="B120" s="41">
        <v>45658</v>
      </c>
      <c r="C120" s="4" t="s">
        <v>344</v>
      </c>
      <c r="D120" s="8">
        <v>45838</v>
      </c>
      <c r="E120" s="37">
        <v>300</v>
      </c>
      <c r="F120" s="34"/>
      <c r="H120" s="38"/>
    </row>
    <row r="121" spans="1:14" ht="15.75" customHeight="1" x14ac:dyDescent="0.25">
      <c r="A121" s="8">
        <v>45835</v>
      </c>
      <c r="B121" s="41">
        <v>45658</v>
      </c>
      <c r="C121" s="4" t="s">
        <v>345</v>
      </c>
      <c r="D121" s="8">
        <v>45838</v>
      </c>
      <c r="E121" s="37">
        <v>199</v>
      </c>
      <c r="F121" s="34"/>
      <c r="H121" s="38"/>
    </row>
    <row r="122" spans="1:14" ht="15.75" customHeight="1" x14ac:dyDescent="0.25">
      <c r="A122" s="8">
        <v>45835</v>
      </c>
      <c r="B122" s="41">
        <v>45658</v>
      </c>
      <c r="C122" s="4" t="s">
        <v>349</v>
      </c>
      <c r="D122" s="8">
        <v>45838</v>
      </c>
      <c r="E122" s="37">
        <v>89</v>
      </c>
      <c r="F122" s="34"/>
      <c r="H122" s="38"/>
    </row>
    <row r="123" spans="1:14" ht="15.75" customHeight="1" x14ac:dyDescent="0.25">
      <c r="A123" s="8">
        <v>45835</v>
      </c>
      <c r="B123" s="41">
        <v>45658</v>
      </c>
      <c r="C123" s="4" t="s">
        <v>351</v>
      </c>
      <c r="D123" s="8">
        <v>45838</v>
      </c>
      <c r="E123" s="37">
        <v>70</v>
      </c>
      <c r="F123" s="34"/>
      <c r="H123" s="38"/>
    </row>
    <row r="124" spans="1:14" ht="15.75" customHeight="1" x14ac:dyDescent="0.25">
      <c r="A124" s="29">
        <v>45838</v>
      </c>
      <c r="B124" s="31">
        <v>45782</v>
      </c>
      <c r="C124" s="32" t="s">
        <v>92</v>
      </c>
      <c r="D124" s="29">
        <v>45838</v>
      </c>
      <c r="E124" s="77"/>
      <c r="F124" s="38"/>
      <c r="G124" s="82"/>
      <c r="H124" s="28">
        <v>1837.29</v>
      </c>
    </row>
    <row r="125" spans="1:14" ht="15.75" customHeight="1" x14ac:dyDescent="0.25">
      <c r="A125" s="8">
        <v>45838</v>
      </c>
      <c r="B125" s="41">
        <v>45658</v>
      </c>
      <c r="C125" s="4" t="s">
        <v>353</v>
      </c>
      <c r="D125" s="8">
        <v>46203</v>
      </c>
      <c r="E125" s="37">
        <v>64.56</v>
      </c>
      <c r="F125" s="34"/>
      <c r="H125" s="38"/>
    </row>
    <row r="126" spans="1:14" ht="15.75" customHeight="1" x14ac:dyDescent="0.25">
      <c r="A126" s="8">
        <v>45810</v>
      </c>
      <c r="B126" s="4">
        <v>26240</v>
      </c>
      <c r="C126" s="4" t="s">
        <v>37</v>
      </c>
      <c r="D126" s="8">
        <v>45838</v>
      </c>
      <c r="E126" s="37">
        <v>585.20000000000005</v>
      </c>
      <c r="F126" s="34"/>
      <c r="H126" s="38"/>
      <c r="I126" s="4" t="s">
        <v>356</v>
      </c>
    </row>
    <row r="127" spans="1:14" ht="15.75" customHeight="1" x14ac:dyDescent="0.25">
      <c r="C127" s="4"/>
      <c r="E127" s="33"/>
      <c r="F127" s="34"/>
      <c r="H127" s="38"/>
    </row>
    <row r="128" spans="1:14" ht="15.75" customHeight="1" x14ac:dyDescent="0.25">
      <c r="C128" s="4" t="s">
        <v>322</v>
      </c>
      <c r="D128" s="103">
        <v>45833</v>
      </c>
      <c r="E128" s="70"/>
      <c r="F128" s="70">
        <v>208.75</v>
      </c>
      <c r="H128" s="38"/>
    </row>
    <row r="129" spans="1:10" ht="15.75" customHeight="1" x14ac:dyDescent="0.25">
      <c r="C129" s="4" t="s">
        <v>323</v>
      </c>
      <c r="D129" s="103">
        <v>45833</v>
      </c>
      <c r="E129" s="137"/>
      <c r="F129" s="70">
        <v>5.05</v>
      </c>
      <c r="H129" s="38"/>
    </row>
    <row r="130" spans="1:10" ht="15.75" customHeight="1" x14ac:dyDescent="0.25">
      <c r="C130" s="4" t="s">
        <v>324</v>
      </c>
      <c r="D130" s="103">
        <v>45833</v>
      </c>
      <c r="E130" s="138"/>
      <c r="F130" s="70">
        <v>97</v>
      </c>
      <c r="H130" s="38"/>
    </row>
    <row r="131" spans="1:10" ht="15.75" customHeight="1" x14ac:dyDescent="0.25">
      <c r="E131" s="27"/>
      <c r="F131" s="37"/>
      <c r="H131" s="38"/>
    </row>
    <row r="132" spans="1:10" ht="15.75" customHeight="1" x14ac:dyDescent="0.25">
      <c r="E132" s="133">
        <f>SUM(E5:E129)</f>
        <v>35805.62999999999</v>
      </c>
      <c r="F132" s="37">
        <f>SUM(F5:F131)</f>
        <v>310.8</v>
      </c>
      <c r="G132" s="33">
        <f>SUM(E132,F132)</f>
        <v>36116.429999999993</v>
      </c>
      <c r="H132" s="38"/>
    </row>
    <row r="133" spans="1:10" ht="15.75" customHeight="1" x14ac:dyDescent="0.25">
      <c r="H133" s="38"/>
    </row>
    <row r="134" spans="1:10" ht="15.75" customHeight="1" x14ac:dyDescent="0.25">
      <c r="A134" s="4"/>
      <c r="F134" s="4"/>
      <c r="H134" s="95">
        <f>SUM(H2:H133)</f>
        <v>51862.94</v>
      </c>
    </row>
    <row r="135" spans="1:10" ht="15.75" customHeight="1" x14ac:dyDescent="0.25">
      <c r="A135" s="4"/>
      <c r="I135" s="61"/>
      <c r="J135" s="53"/>
    </row>
    <row r="136" spans="1:10" ht="15.75" customHeight="1" x14ac:dyDescent="0.25"/>
    <row r="137" spans="1:10" ht="15.75" customHeight="1" x14ac:dyDescent="0.25">
      <c r="A137" s="4"/>
    </row>
    <row r="138" spans="1:10" ht="15.75" customHeight="1" x14ac:dyDescent="0.25">
      <c r="C138" s="4"/>
    </row>
    <row r="139" spans="1:10" ht="15.75" customHeight="1" x14ac:dyDescent="0.25">
      <c r="C139" s="4"/>
    </row>
    <row r="140" spans="1:10" ht="15.75" customHeight="1" x14ac:dyDescent="0.25">
      <c r="C140" s="4"/>
    </row>
    <row r="141" spans="1:10" ht="15.75" customHeight="1" x14ac:dyDescent="0.25">
      <c r="C141" s="4"/>
    </row>
    <row r="142" spans="1:10" ht="15.75" customHeight="1" x14ac:dyDescent="0.25"/>
    <row r="143" spans="1:10" ht="15.75" customHeight="1" x14ac:dyDescent="0.25"/>
    <row r="144" spans="1:10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</sheetData>
  <autoFilter ref="C1:C1106" xr:uid="{00000000-0009-0000-0000-000003000000}"/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6"/>
  <sheetViews>
    <sheetView workbookViewId="0"/>
  </sheetViews>
  <sheetFormatPr defaultColWidth="12.5703125" defaultRowHeight="15" customHeight="1" x14ac:dyDescent="0.25"/>
  <cols>
    <col min="1" max="1" width="12.5703125" customWidth="1"/>
    <col min="2" max="2" width="17.42578125" customWidth="1"/>
    <col min="3" max="3" width="32.85546875" customWidth="1"/>
    <col min="4" max="4" width="16.7109375" customWidth="1"/>
    <col min="5" max="5" width="19.28515625" customWidth="1"/>
    <col min="6" max="6" width="16.28515625" customWidth="1"/>
    <col min="7" max="7" width="19.28515625" customWidth="1"/>
    <col min="8" max="8" width="15" customWidth="1"/>
    <col min="9" max="9" width="20.140625" customWidth="1"/>
    <col min="10" max="10" width="15" customWidth="1"/>
    <col min="11" max="26" width="8.5703125" customWidth="1"/>
  </cols>
  <sheetData>
    <row r="1" spans="1:10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10" x14ac:dyDescent="0.25">
      <c r="A2" s="17">
        <v>45839</v>
      </c>
      <c r="B2" s="22">
        <v>1</v>
      </c>
      <c r="C2" s="23" t="s">
        <v>77</v>
      </c>
      <c r="D2" s="9"/>
      <c r="E2" s="84"/>
      <c r="F2" s="14"/>
      <c r="G2" s="4"/>
      <c r="H2" s="38">
        <v>14792.67</v>
      </c>
      <c r="I2" s="34">
        <v>5505.15</v>
      </c>
      <c r="J2" s="4" t="s">
        <v>220</v>
      </c>
    </row>
    <row r="3" spans="1:10" x14ac:dyDescent="0.25">
      <c r="A3" s="45">
        <v>45839</v>
      </c>
      <c r="B3" s="86">
        <v>45658</v>
      </c>
      <c r="C3" s="51" t="s">
        <v>222</v>
      </c>
      <c r="D3" s="49">
        <v>45839</v>
      </c>
      <c r="E3" s="87">
        <v>99.99</v>
      </c>
      <c r="F3" s="42"/>
    </row>
    <row r="4" spans="1:10" x14ac:dyDescent="0.25">
      <c r="A4" s="45">
        <v>45840</v>
      </c>
      <c r="B4" s="86">
        <v>45658</v>
      </c>
      <c r="C4" s="51" t="s">
        <v>225</v>
      </c>
      <c r="D4" s="49">
        <v>45840</v>
      </c>
      <c r="E4" s="87">
        <v>235</v>
      </c>
      <c r="F4" s="42"/>
    </row>
    <row r="5" spans="1:10" x14ac:dyDescent="0.25">
      <c r="A5" s="45">
        <v>45777</v>
      </c>
      <c r="B5" s="47">
        <v>1</v>
      </c>
      <c r="C5" s="51" t="s">
        <v>159</v>
      </c>
      <c r="D5" s="49">
        <v>45842</v>
      </c>
      <c r="E5" s="87">
        <v>455.4</v>
      </c>
      <c r="F5" s="42"/>
    </row>
    <row r="6" spans="1:10" x14ac:dyDescent="0.25">
      <c r="A6" s="8">
        <v>45810</v>
      </c>
      <c r="B6" s="4">
        <v>206843</v>
      </c>
      <c r="C6" s="51" t="s">
        <v>227</v>
      </c>
      <c r="D6" s="54">
        <v>45842</v>
      </c>
      <c r="E6" s="85">
        <v>112</v>
      </c>
      <c r="F6" s="70"/>
    </row>
    <row r="7" spans="1:10" x14ac:dyDescent="0.25">
      <c r="A7" s="8">
        <v>45810</v>
      </c>
      <c r="B7" s="4">
        <v>26241</v>
      </c>
      <c r="C7" s="4" t="s">
        <v>37</v>
      </c>
      <c r="D7" s="54">
        <v>45852</v>
      </c>
      <c r="E7" s="85">
        <v>2025.6</v>
      </c>
      <c r="F7" s="56"/>
    </row>
    <row r="8" spans="1:10" x14ac:dyDescent="0.25">
      <c r="A8" s="8">
        <v>45810</v>
      </c>
      <c r="B8" s="4">
        <v>26230</v>
      </c>
      <c r="C8" s="4" t="s">
        <v>37</v>
      </c>
      <c r="D8" s="54">
        <v>45846</v>
      </c>
      <c r="E8" s="55">
        <v>214.5</v>
      </c>
      <c r="F8" s="56"/>
    </row>
    <row r="9" spans="1:10" x14ac:dyDescent="0.25">
      <c r="A9" s="8">
        <v>45811</v>
      </c>
      <c r="B9" s="4">
        <v>1854</v>
      </c>
      <c r="C9" s="51" t="s">
        <v>67</v>
      </c>
      <c r="D9" s="54">
        <v>45846</v>
      </c>
      <c r="E9" s="55">
        <v>2520.1</v>
      </c>
      <c r="F9" s="70"/>
    </row>
    <row r="10" spans="1:10" x14ac:dyDescent="0.25">
      <c r="A10" s="91">
        <v>45841</v>
      </c>
      <c r="B10" s="92">
        <v>45658</v>
      </c>
      <c r="C10" s="93" t="s">
        <v>231</v>
      </c>
      <c r="D10" s="91">
        <v>45841</v>
      </c>
      <c r="E10" s="94">
        <v>65.099999999999994</v>
      </c>
      <c r="F10" s="56"/>
    </row>
    <row r="11" spans="1:10" x14ac:dyDescent="0.25">
      <c r="A11" s="91">
        <v>45841</v>
      </c>
      <c r="B11" s="92">
        <v>45658</v>
      </c>
      <c r="C11" s="93" t="s">
        <v>232</v>
      </c>
      <c r="D11" s="91">
        <v>45841</v>
      </c>
      <c r="E11" s="94">
        <v>150.91</v>
      </c>
      <c r="F11" s="56"/>
    </row>
    <row r="12" spans="1:10" x14ac:dyDescent="0.25">
      <c r="A12" s="96">
        <v>45842</v>
      </c>
      <c r="B12" s="97">
        <v>1</v>
      </c>
      <c r="C12" s="98" t="s">
        <v>234</v>
      </c>
      <c r="D12" s="96">
        <v>6620207</v>
      </c>
      <c r="E12" s="99"/>
      <c r="F12" s="99"/>
      <c r="G12" s="100"/>
      <c r="H12" s="99">
        <v>5505.15</v>
      </c>
    </row>
    <row r="13" spans="1:10" x14ac:dyDescent="0.25">
      <c r="A13" s="8">
        <v>45811</v>
      </c>
      <c r="B13" s="4">
        <v>23583</v>
      </c>
      <c r="C13" s="51" t="s">
        <v>193</v>
      </c>
      <c r="D13" s="54">
        <v>45842</v>
      </c>
      <c r="E13" s="85">
        <v>89.6</v>
      </c>
      <c r="F13" s="56" t="s">
        <v>236</v>
      </c>
    </row>
    <row r="14" spans="1:10" x14ac:dyDescent="0.25">
      <c r="A14" s="8">
        <v>45812</v>
      </c>
      <c r="B14" s="4">
        <v>37999</v>
      </c>
      <c r="C14" s="51" t="s">
        <v>116</v>
      </c>
      <c r="D14" s="54">
        <v>45842</v>
      </c>
      <c r="E14" s="85">
        <v>748</v>
      </c>
      <c r="F14" s="56"/>
    </row>
    <row r="15" spans="1:10" x14ac:dyDescent="0.25">
      <c r="A15" s="8">
        <v>45812</v>
      </c>
      <c r="B15" s="4">
        <v>41487</v>
      </c>
      <c r="C15" s="51" t="s">
        <v>166</v>
      </c>
      <c r="D15" s="54">
        <v>45842</v>
      </c>
      <c r="E15" s="55">
        <v>500</v>
      </c>
      <c r="F15" s="70"/>
    </row>
    <row r="16" spans="1:10" x14ac:dyDescent="0.25">
      <c r="A16" s="8">
        <v>45812</v>
      </c>
      <c r="B16" s="41">
        <v>45658</v>
      </c>
      <c r="C16" s="4" t="s">
        <v>238</v>
      </c>
      <c r="D16" s="54">
        <v>45842</v>
      </c>
      <c r="E16" s="55">
        <v>1000</v>
      </c>
      <c r="F16" s="70"/>
      <c r="G16" s="71"/>
    </row>
    <row r="17" spans="1:8" x14ac:dyDescent="0.25">
      <c r="A17" s="8">
        <v>45852</v>
      </c>
      <c r="B17" s="41">
        <v>45690</v>
      </c>
      <c r="C17" s="4" t="s">
        <v>238</v>
      </c>
      <c r="D17" s="54">
        <v>45852</v>
      </c>
      <c r="E17" s="85">
        <v>872.5</v>
      </c>
      <c r="F17" s="85"/>
      <c r="G17" s="71"/>
    </row>
    <row r="18" spans="1:8" x14ac:dyDescent="0.25">
      <c r="A18" s="8">
        <v>45835</v>
      </c>
      <c r="B18" s="4">
        <v>16619</v>
      </c>
      <c r="C18" s="4" t="s">
        <v>240</v>
      </c>
      <c r="D18" s="54">
        <v>45842</v>
      </c>
      <c r="E18" s="85">
        <v>165</v>
      </c>
      <c r="F18" s="70"/>
      <c r="G18" s="71"/>
    </row>
    <row r="19" spans="1:8" x14ac:dyDescent="0.25">
      <c r="A19" s="29">
        <v>45842</v>
      </c>
      <c r="B19" s="31">
        <v>45658</v>
      </c>
      <c r="C19" s="32" t="s">
        <v>235</v>
      </c>
      <c r="D19" s="54"/>
      <c r="E19" s="85"/>
      <c r="F19" s="70"/>
      <c r="G19" s="71"/>
      <c r="H19" s="38">
        <v>935.88</v>
      </c>
    </row>
    <row r="20" spans="1:8" x14ac:dyDescent="0.25">
      <c r="A20" s="8">
        <v>45842</v>
      </c>
      <c r="B20" s="41">
        <v>45658</v>
      </c>
      <c r="C20" s="4" t="s">
        <v>175</v>
      </c>
      <c r="D20" s="54">
        <v>45842</v>
      </c>
      <c r="E20" s="85">
        <v>1470</v>
      </c>
      <c r="F20" s="70"/>
      <c r="G20" s="71"/>
    </row>
    <row r="21" spans="1:8" x14ac:dyDescent="0.25">
      <c r="A21" s="8">
        <v>45842</v>
      </c>
      <c r="B21" s="41">
        <v>45658</v>
      </c>
      <c r="C21" s="4" t="s">
        <v>241</v>
      </c>
      <c r="D21" s="54">
        <v>45842</v>
      </c>
      <c r="E21" s="85">
        <v>2000</v>
      </c>
      <c r="F21" s="70"/>
      <c r="G21" s="71"/>
    </row>
    <row r="22" spans="1:8" x14ac:dyDescent="0.25">
      <c r="A22" s="8">
        <v>45842</v>
      </c>
      <c r="B22" s="41">
        <v>45658</v>
      </c>
      <c r="C22" s="4" t="s">
        <v>244</v>
      </c>
      <c r="D22" s="54">
        <v>45842</v>
      </c>
      <c r="E22" s="55">
        <v>1800</v>
      </c>
      <c r="F22" s="70"/>
      <c r="G22" s="71"/>
    </row>
    <row r="23" spans="1:8" x14ac:dyDescent="0.25">
      <c r="A23" s="8">
        <v>45842</v>
      </c>
      <c r="B23" s="41">
        <v>45658</v>
      </c>
      <c r="C23" s="4" t="s">
        <v>243</v>
      </c>
      <c r="D23" s="54">
        <v>45842</v>
      </c>
      <c r="E23" s="55">
        <v>1540</v>
      </c>
      <c r="F23" s="70"/>
      <c r="G23" s="71"/>
    </row>
    <row r="24" spans="1:8" x14ac:dyDescent="0.25">
      <c r="A24" s="8">
        <v>45842</v>
      </c>
      <c r="B24" s="41">
        <v>45658</v>
      </c>
      <c r="C24" s="4" t="s">
        <v>246</v>
      </c>
      <c r="D24" s="54">
        <v>45842</v>
      </c>
      <c r="E24" s="85">
        <v>700</v>
      </c>
      <c r="F24" s="70"/>
      <c r="G24" s="71"/>
    </row>
    <row r="25" spans="1:8" x14ac:dyDescent="0.25">
      <c r="A25" s="8">
        <v>45842</v>
      </c>
      <c r="B25" s="41">
        <v>45658</v>
      </c>
      <c r="C25" s="4" t="s">
        <v>247</v>
      </c>
      <c r="D25" s="54">
        <v>45842</v>
      </c>
      <c r="E25" s="55">
        <v>2296.6</v>
      </c>
      <c r="F25" s="70"/>
      <c r="G25" s="71"/>
    </row>
    <row r="26" spans="1:8" x14ac:dyDescent="0.25">
      <c r="A26" s="8">
        <v>45842</v>
      </c>
      <c r="B26" s="41">
        <v>45658</v>
      </c>
      <c r="C26" s="4" t="s">
        <v>248</v>
      </c>
      <c r="D26" s="54">
        <v>45846</v>
      </c>
      <c r="E26" s="85">
        <v>916.2</v>
      </c>
      <c r="F26" s="70"/>
      <c r="G26" s="71"/>
    </row>
    <row r="27" spans="1:8" x14ac:dyDescent="0.25">
      <c r="A27" s="8">
        <v>45842</v>
      </c>
      <c r="B27" s="41">
        <v>45658</v>
      </c>
      <c r="C27" s="4" t="s">
        <v>123</v>
      </c>
      <c r="D27" s="54">
        <v>45842</v>
      </c>
      <c r="E27" s="55">
        <v>693.54</v>
      </c>
      <c r="F27" s="70"/>
      <c r="G27" s="71"/>
    </row>
    <row r="28" spans="1:8" x14ac:dyDescent="0.25">
      <c r="A28" s="8">
        <v>45842</v>
      </c>
      <c r="B28" s="41">
        <v>45658</v>
      </c>
      <c r="C28" s="4" t="s">
        <v>250</v>
      </c>
      <c r="D28" s="54">
        <v>45846</v>
      </c>
      <c r="E28" s="85">
        <v>186</v>
      </c>
      <c r="F28" s="70"/>
      <c r="G28" s="71"/>
    </row>
    <row r="29" spans="1:8" x14ac:dyDescent="0.25">
      <c r="A29" s="8">
        <v>45842</v>
      </c>
      <c r="B29" s="41">
        <v>45658</v>
      </c>
      <c r="C29" s="4" t="s">
        <v>251</v>
      </c>
      <c r="D29" s="54">
        <v>45842</v>
      </c>
      <c r="E29" s="85">
        <v>329.7</v>
      </c>
      <c r="F29" s="70"/>
      <c r="G29" s="71"/>
    </row>
    <row r="30" spans="1:8" x14ac:dyDescent="0.25">
      <c r="A30" s="29">
        <v>45842</v>
      </c>
      <c r="B30" s="31">
        <v>45658</v>
      </c>
      <c r="C30" s="32" t="s">
        <v>205</v>
      </c>
      <c r="D30" s="29"/>
      <c r="E30" s="38"/>
      <c r="F30" s="38"/>
      <c r="G30" s="32"/>
      <c r="H30" s="38">
        <v>5268.34</v>
      </c>
    </row>
    <row r="31" spans="1:8" x14ac:dyDescent="0.25">
      <c r="A31" s="8">
        <v>45800</v>
      </c>
      <c r="B31" s="4">
        <v>5139</v>
      </c>
      <c r="C31" s="4" t="s">
        <v>148</v>
      </c>
      <c r="D31" s="54">
        <v>45842</v>
      </c>
      <c r="E31" s="85">
        <v>344</v>
      </c>
      <c r="F31" s="107"/>
      <c r="G31" s="71" t="s">
        <v>253</v>
      </c>
    </row>
    <row r="32" spans="1:8" x14ac:dyDescent="0.25">
      <c r="A32" s="8">
        <v>45813</v>
      </c>
      <c r="B32" s="4">
        <v>26473</v>
      </c>
      <c r="C32" s="4" t="s">
        <v>37</v>
      </c>
      <c r="D32" s="54">
        <v>45846</v>
      </c>
      <c r="E32" s="55">
        <v>209</v>
      </c>
      <c r="F32" s="56"/>
    </row>
    <row r="33" spans="1:8" x14ac:dyDescent="0.25">
      <c r="A33" s="8">
        <v>45813</v>
      </c>
      <c r="B33" s="4">
        <v>20407</v>
      </c>
      <c r="C33" s="4" t="s">
        <v>211</v>
      </c>
      <c r="D33" s="54">
        <v>45846</v>
      </c>
      <c r="E33" s="55">
        <v>361.98</v>
      </c>
      <c r="F33" s="56"/>
    </row>
    <row r="34" spans="1:8" x14ac:dyDescent="0.25">
      <c r="A34" s="8">
        <v>45813</v>
      </c>
      <c r="B34" s="81">
        <v>45778</v>
      </c>
      <c r="C34" s="4" t="s">
        <v>245</v>
      </c>
      <c r="D34" s="54">
        <v>45842</v>
      </c>
      <c r="E34" s="55">
        <v>800</v>
      </c>
      <c r="F34" s="107"/>
    </row>
    <row r="35" spans="1:8" x14ac:dyDescent="0.25">
      <c r="A35" s="8">
        <v>45813</v>
      </c>
      <c r="B35" s="4">
        <v>2069021</v>
      </c>
      <c r="C35" s="4" t="s">
        <v>227</v>
      </c>
      <c r="D35" s="54">
        <v>45842</v>
      </c>
      <c r="E35" s="85">
        <v>25</v>
      </c>
      <c r="F35" s="107"/>
    </row>
    <row r="36" spans="1:8" x14ac:dyDescent="0.25">
      <c r="A36" s="8">
        <v>45814</v>
      </c>
      <c r="B36" s="4">
        <v>206951</v>
      </c>
      <c r="C36" s="4" t="s">
        <v>227</v>
      </c>
      <c r="D36" s="54">
        <v>45842</v>
      </c>
      <c r="E36" s="85">
        <v>33.04</v>
      </c>
      <c r="F36" s="107"/>
    </row>
    <row r="37" spans="1:8" x14ac:dyDescent="0.25">
      <c r="A37" s="8">
        <v>45814</v>
      </c>
      <c r="B37" s="4">
        <v>26593</v>
      </c>
      <c r="C37" s="51" t="s">
        <v>37</v>
      </c>
      <c r="D37" s="54">
        <v>45846</v>
      </c>
      <c r="E37" s="55">
        <v>53.6</v>
      </c>
      <c r="F37" s="56"/>
    </row>
    <row r="38" spans="1:8" x14ac:dyDescent="0.25">
      <c r="A38" s="8">
        <v>45814</v>
      </c>
      <c r="B38" s="4">
        <v>23631</v>
      </c>
      <c r="C38" s="51" t="s">
        <v>193</v>
      </c>
      <c r="D38" s="54">
        <v>45846</v>
      </c>
      <c r="E38" s="55">
        <v>171</v>
      </c>
      <c r="F38" s="56"/>
    </row>
    <row r="39" spans="1:8" x14ac:dyDescent="0.25">
      <c r="A39" s="8">
        <v>45814</v>
      </c>
      <c r="B39" s="4">
        <v>1898</v>
      </c>
      <c r="C39" s="51" t="s">
        <v>67</v>
      </c>
      <c r="D39" s="54">
        <v>45846</v>
      </c>
      <c r="E39" s="55">
        <v>295.89999999999998</v>
      </c>
      <c r="F39" s="56"/>
    </row>
    <row r="40" spans="1:8" x14ac:dyDescent="0.25">
      <c r="A40" s="8">
        <v>45814</v>
      </c>
      <c r="B40" s="4"/>
      <c r="C40" s="4" t="s">
        <v>257</v>
      </c>
      <c r="D40" s="54">
        <v>45849</v>
      </c>
      <c r="E40" s="85">
        <v>5000</v>
      </c>
      <c r="F40" s="70"/>
    </row>
    <row r="41" spans="1:8" x14ac:dyDescent="0.25">
      <c r="A41" s="29">
        <v>45845</v>
      </c>
      <c r="B41" s="31">
        <v>45658</v>
      </c>
      <c r="C41" s="23" t="s">
        <v>92</v>
      </c>
      <c r="D41" s="29"/>
      <c r="E41" s="38"/>
      <c r="F41" s="38"/>
      <c r="G41" s="82"/>
      <c r="H41" s="38">
        <v>1795.09</v>
      </c>
    </row>
    <row r="42" spans="1:8" x14ac:dyDescent="0.25">
      <c r="A42" s="8">
        <v>45846</v>
      </c>
      <c r="B42" s="81">
        <v>45809</v>
      </c>
      <c r="C42" s="51" t="s">
        <v>81</v>
      </c>
      <c r="D42" s="54">
        <v>45842</v>
      </c>
      <c r="E42" s="55">
        <v>934.62</v>
      </c>
      <c r="F42" s="85"/>
    </row>
    <row r="43" spans="1:8" x14ac:dyDescent="0.25">
      <c r="A43" s="8">
        <v>45817</v>
      </c>
      <c r="B43" s="4">
        <v>20387</v>
      </c>
      <c r="C43" s="51" t="s">
        <v>211</v>
      </c>
      <c r="D43" s="54">
        <v>45846</v>
      </c>
      <c r="E43" s="55">
        <v>129</v>
      </c>
      <c r="F43" s="70"/>
    </row>
    <row r="44" spans="1:8" x14ac:dyDescent="0.25">
      <c r="A44" s="8">
        <v>45817</v>
      </c>
      <c r="B44" s="4">
        <v>38048</v>
      </c>
      <c r="C44" s="51" t="s">
        <v>116</v>
      </c>
      <c r="D44" s="8">
        <v>45852</v>
      </c>
      <c r="E44" s="85">
        <v>408</v>
      </c>
      <c r="F44" s="70"/>
    </row>
    <row r="45" spans="1:8" x14ac:dyDescent="0.25">
      <c r="A45" s="8">
        <v>45817</v>
      </c>
      <c r="B45" s="4">
        <v>369</v>
      </c>
      <c r="C45" s="51" t="s">
        <v>96</v>
      </c>
      <c r="D45" s="54">
        <v>45846</v>
      </c>
      <c r="E45" s="55">
        <v>380</v>
      </c>
      <c r="F45" s="70"/>
    </row>
    <row r="46" spans="1:8" x14ac:dyDescent="0.25">
      <c r="A46" s="8">
        <v>45839</v>
      </c>
      <c r="B46" s="81">
        <v>45809</v>
      </c>
      <c r="C46" s="4" t="s">
        <v>262</v>
      </c>
      <c r="D46" s="8">
        <v>45846</v>
      </c>
      <c r="E46" s="37">
        <v>550</v>
      </c>
      <c r="F46" s="34"/>
    </row>
    <row r="47" spans="1:8" x14ac:dyDescent="0.25">
      <c r="A47" s="8">
        <v>45818</v>
      </c>
      <c r="B47" s="4">
        <v>1923</v>
      </c>
      <c r="C47" s="51" t="s">
        <v>67</v>
      </c>
      <c r="D47" s="8">
        <v>45852</v>
      </c>
      <c r="E47" s="85">
        <v>421.55</v>
      </c>
      <c r="F47" s="70"/>
    </row>
    <row r="48" spans="1:8" x14ac:dyDescent="0.25">
      <c r="A48" s="54">
        <v>45826</v>
      </c>
      <c r="B48" s="78">
        <v>65917</v>
      </c>
      <c r="C48" s="110" t="s">
        <v>264</v>
      </c>
      <c r="D48" s="8">
        <v>45852</v>
      </c>
      <c r="E48" s="85">
        <v>70.78</v>
      </c>
      <c r="F48" s="70"/>
    </row>
    <row r="49" spans="1:9" x14ac:dyDescent="0.25">
      <c r="A49" s="54">
        <v>45838</v>
      </c>
      <c r="B49" s="78">
        <v>66002</v>
      </c>
      <c r="C49" s="110" t="s">
        <v>264</v>
      </c>
      <c r="D49" s="8">
        <v>45852</v>
      </c>
      <c r="E49" s="85">
        <v>6.6</v>
      </c>
      <c r="F49" s="70"/>
    </row>
    <row r="50" spans="1:9" x14ac:dyDescent="0.25">
      <c r="A50" s="29">
        <v>45848</v>
      </c>
      <c r="B50" s="31">
        <v>45690</v>
      </c>
      <c r="C50" s="32" t="s">
        <v>205</v>
      </c>
      <c r="D50" s="29">
        <v>45848</v>
      </c>
      <c r="E50" s="38"/>
      <c r="F50" s="38"/>
      <c r="G50" s="82"/>
      <c r="H50" s="38">
        <v>110</v>
      </c>
    </row>
    <row r="51" spans="1:9" x14ac:dyDescent="0.25">
      <c r="A51" s="8">
        <v>45841</v>
      </c>
      <c r="B51" s="4">
        <v>9372509</v>
      </c>
      <c r="C51" s="4" t="s">
        <v>258</v>
      </c>
      <c r="D51" s="54">
        <v>45848</v>
      </c>
      <c r="E51" s="85">
        <v>110</v>
      </c>
      <c r="F51" s="70"/>
    </row>
    <row r="52" spans="1:9" x14ac:dyDescent="0.25">
      <c r="A52" s="8">
        <v>45819</v>
      </c>
      <c r="B52" s="4">
        <v>38076</v>
      </c>
      <c r="C52" s="51" t="s">
        <v>116</v>
      </c>
      <c r="D52" s="8">
        <v>45852</v>
      </c>
      <c r="E52" s="85">
        <v>102</v>
      </c>
      <c r="F52" s="70"/>
    </row>
    <row r="53" spans="1:9" x14ac:dyDescent="0.25">
      <c r="A53" s="8">
        <v>45819</v>
      </c>
      <c r="B53" s="4">
        <v>15559</v>
      </c>
      <c r="C53" s="51" t="s">
        <v>121</v>
      </c>
      <c r="D53" s="8">
        <v>45852</v>
      </c>
      <c r="E53" s="85">
        <v>243.1</v>
      </c>
      <c r="F53" s="70"/>
    </row>
    <row r="54" spans="1:9" x14ac:dyDescent="0.25">
      <c r="A54" s="8">
        <v>45819</v>
      </c>
      <c r="B54" s="4">
        <v>207023</v>
      </c>
      <c r="C54" s="51" t="s">
        <v>227</v>
      </c>
      <c r="D54" s="8">
        <v>45852</v>
      </c>
      <c r="E54" s="85">
        <v>33.6</v>
      </c>
      <c r="F54" s="70"/>
    </row>
    <row r="55" spans="1:9" x14ac:dyDescent="0.25">
      <c r="A55" s="8">
        <v>45820</v>
      </c>
      <c r="B55" s="4">
        <v>42001</v>
      </c>
      <c r="C55" s="51" t="s">
        <v>174</v>
      </c>
      <c r="D55" s="8">
        <v>45849</v>
      </c>
      <c r="E55" s="34">
        <v>36.5</v>
      </c>
      <c r="F55" s="34"/>
    </row>
    <row r="56" spans="1:9" x14ac:dyDescent="0.25">
      <c r="A56" s="8">
        <v>45820</v>
      </c>
      <c r="B56" s="4">
        <v>20429</v>
      </c>
      <c r="C56" s="51" t="s">
        <v>211</v>
      </c>
      <c r="D56" s="8">
        <v>45852</v>
      </c>
      <c r="E56" s="34">
        <v>394.9</v>
      </c>
      <c r="F56" s="34"/>
    </row>
    <row r="57" spans="1:9" x14ac:dyDescent="0.25">
      <c r="A57" s="8">
        <v>45820</v>
      </c>
      <c r="B57" s="4">
        <v>19102</v>
      </c>
      <c r="C57" s="51" t="s">
        <v>89</v>
      </c>
      <c r="D57" s="8">
        <v>45852</v>
      </c>
      <c r="E57" s="34">
        <v>80</v>
      </c>
      <c r="F57" s="34"/>
    </row>
    <row r="58" spans="1:9" x14ac:dyDescent="0.25">
      <c r="A58" s="8">
        <v>45820</v>
      </c>
      <c r="B58" s="4">
        <v>207064</v>
      </c>
      <c r="C58" s="51" t="s">
        <v>227</v>
      </c>
      <c r="D58" s="8">
        <v>45852</v>
      </c>
      <c r="E58" s="34">
        <v>65</v>
      </c>
      <c r="F58" s="34"/>
    </row>
    <row r="59" spans="1:9" x14ac:dyDescent="0.25">
      <c r="A59" s="8">
        <v>45824</v>
      </c>
      <c r="B59" s="81">
        <v>45809</v>
      </c>
      <c r="C59" s="110" t="s">
        <v>163</v>
      </c>
      <c r="D59" s="8">
        <v>45852</v>
      </c>
      <c r="E59" s="34">
        <v>66.88</v>
      </c>
      <c r="F59" s="34"/>
      <c r="I59" s="4" t="s">
        <v>272</v>
      </c>
    </row>
    <row r="60" spans="1:9" x14ac:dyDescent="0.25">
      <c r="A60" s="8">
        <v>45839</v>
      </c>
      <c r="B60" s="41">
        <v>45994</v>
      </c>
      <c r="C60" s="4" t="s">
        <v>214</v>
      </c>
      <c r="D60" s="54">
        <v>45852</v>
      </c>
      <c r="E60" s="85">
        <v>99.99</v>
      </c>
      <c r="F60" s="70"/>
    </row>
    <row r="61" spans="1:9" x14ac:dyDescent="0.25">
      <c r="A61" s="8">
        <v>45824</v>
      </c>
      <c r="B61" s="4">
        <v>81</v>
      </c>
      <c r="C61" s="51" t="s">
        <v>168</v>
      </c>
      <c r="D61" s="54">
        <v>45856</v>
      </c>
      <c r="E61" s="85">
        <v>225</v>
      </c>
      <c r="F61" s="85"/>
      <c r="I61" s="4"/>
    </row>
    <row r="62" spans="1:9" x14ac:dyDescent="0.25">
      <c r="A62" s="8">
        <v>45824</v>
      </c>
      <c r="B62" s="78">
        <v>5902</v>
      </c>
      <c r="C62" s="110" t="s">
        <v>85</v>
      </c>
      <c r="D62" s="54">
        <v>45852</v>
      </c>
      <c r="E62" s="85">
        <v>619.20000000000005</v>
      </c>
      <c r="F62" s="85"/>
    </row>
    <row r="63" spans="1:9" x14ac:dyDescent="0.25">
      <c r="A63" s="8">
        <v>45832</v>
      </c>
      <c r="B63" s="78">
        <v>5907</v>
      </c>
      <c r="C63" s="110" t="s">
        <v>85</v>
      </c>
      <c r="D63" s="54">
        <v>45852</v>
      </c>
      <c r="E63" s="85">
        <v>72</v>
      </c>
      <c r="F63" s="85"/>
    </row>
    <row r="64" spans="1:9" x14ac:dyDescent="0.25">
      <c r="A64" s="8">
        <v>45825</v>
      </c>
      <c r="B64" s="4">
        <v>19288</v>
      </c>
      <c r="C64" s="51" t="s">
        <v>89</v>
      </c>
      <c r="D64" s="54">
        <v>45856</v>
      </c>
      <c r="E64" s="85">
        <v>79.95</v>
      </c>
      <c r="F64" s="70"/>
    </row>
    <row r="65" spans="1:6" x14ac:dyDescent="0.25">
      <c r="A65" s="8">
        <v>45826</v>
      </c>
      <c r="B65" s="4">
        <v>16116</v>
      </c>
      <c r="C65" s="51" t="s">
        <v>121</v>
      </c>
      <c r="D65" s="54">
        <v>45856</v>
      </c>
      <c r="E65" s="85">
        <v>119.9</v>
      </c>
      <c r="F65" s="70"/>
    </row>
    <row r="66" spans="1:6" x14ac:dyDescent="0.25">
      <c r="A66" s="8">
        <v>45852</v>
      </c>
      <c r="B66" s="81">
        <v>45809</v>
      </c>
      <c r="C66" s="4" t="s">
        <v>275</v>
      </c>
      <c r="D66" s="54">
        <v>45856</v>
      </c>
      <c r="E66" s="85">
        <v>310.64</v>
      </c>
      <c r="F66" s="70"/>
    </row>
    <row r="67" spans="1:6" x14ac:dyDescent="0.25">
      <c r="A67" s="8">
        <v>45828</v>
      </c>
      <c r="B67" s="4">
        <v>38173</v>
      </c>
      <c r="C67" s="51" t="s">
        <v>116</v>
      </c>
      <c r="D67" s="54">
        <v>45856</v>
      </c>
      <c r="E67" s="85">
        <v>408</v>
      </c>
      <c r="F67" s="70"/>
    </row>
    <row r="68" spans="1:6" x14ac:dyDescent="0.25">
      <c r="A68" s="8">
        <v>45828</v>
      </c>
      <c r="B68" s="4">
        <v>19369</v>
      </c>
      <c r="C68" s="51" t="s">
        <v>89</v>
      </c>
      <c r="D68" s="54">
        <v>45856</v>
      </c>
      <c r="E68" s="85">
        <v>249</v>
      </c>
      <c r="F68" s="70"/>
    </row>
    <row r="69" spans="1:6" x14ac:dyDescent="0.25">
      <c r="A69" s="8">
        <v>45828</v>
      </c>
      <c r="B69" s="81">
        <v>45809</v>
      </c>
      <c r="C69" s="51" t="s">
        <v>151</v>
      </c>
      <c r="D69" s="54">
        <v>45856</v>
      </c>
      <c r="E69" s="85">
        <v>76.900000000000006</v>
      </c>
      <c r="F69" s="70"/>
    </row>
    <row r="70" spans="1:6" x14ac:dyDescent="0.25">
      <c r="A70" s="8">
        <v>45852</v>
      </c>
      <c r="B70" s="81">
        <v>45809</v>
      </c>
      <c r="C70" s="51" t="s">
        <v>184</v>
      </c>
      <c r="D70" s="54">
        <v>45856</v>
      </c>
      <c r="E70" s="85">
        <v>1882</v>
      </c>
      <c r="F70" s="70"/>
    </row>
    <row r="71" spans="1:6" x14ac:dyDescent="0.25">
      <c r="A71" s="8">
        <v>45831</v>
      </c>
      <c r="B71" s="4">
        <v>41943</v>
      </c>
      <c r="C71" s="51" t="s">
        <v>166</v>
      </c>
      <c r="D71" s="8">
        <v>45863</v>
      </c>
      <c r="E71" s="85">
        <v>843</v>
      </c>
      <c r="F71" s="70"/>
    </row>
    <row r="72" spans="1:6" x14ac:dyDescent="0.25">
      <c r="A72" s="8">
        <v>45831</v>
      </c>
      <c r="B72" s="4">
        <v>63042</v>
      </c>
      <c r="C72" s="51" t="s">
        <v>197</v>
      </c>
      <c r="D72" s="8">
        <v>45860</v>
      </c>
      <c r="E72" s="85">
        <v>69.540000000000006</v>
      </c>
      <c r="F72" s="70"/>
    </row>
    <row r="73" spans="1:6" x14ac:dyDescent="0.25">
      <c r="A73" s="8">
        <v>45831</v>
      </c>
      <c r="B73" s="4">
        <v>27548</v>
      </c>
      <c r="C73" s="51" t="s">
        <v>37</v>
      </c>
      <c r="D73" s="8">
        <v>45863</v>
      </c>
      <c r="E73" s="85">
        <v>104.5</v>
      </c>
      <c r="F73" s="70"/>
    </row>
    <row r="74" spans="1:6" x14ac:dyDescent="0.25">
      <c r="A74" s="8">
        <v>45832</v>
      </c>
      <c r="B74" s="4">
        <v>16150</v>
      </c>
      <c r="C74" s="51" t="s">
        <v>121</v>
      </c>
      <c r="D74" s="8">
        <v>45863</v>
      </c>
      <c r="E74" s="85">
        <v>180</v>
      </c>
      <c r="F74" s="70"/>
    </row>
    <row r="75" spans="1:6" x14ac:dyDescent="0.25">
      <c r="A75" s="8">
        <v>45839</v>
      </c>
      <c r="B75" s="41">
        <v>45658</v>
      </c>
      <c r="C75" s="51" t="s">
        <v>134</v>
      </c>
      <c r="D75" s="8">
        <v>45863</v>
      </c>
      <c r="E75" s="85">
        <v>108</v>
      </c>
      <c r="F75" s="70"/>
    </row>
    <row r="76" spans="1:6" x14ac:dyDescent="0.25">
      <c r="A76" s="8">
        <v>45834</v>
      </c>
      <c r="B76" s="4">
        <v>19601</v>
      </c>
      <c r="C76" s="51" t="s">
        <v>89</v>
      </c>
      <c r="D76" s="8">
        <v>45864</v>
      </c>
      <c r="E76" s="85">
        <v>319</v>
      </c>
      <c r="F76" s="70"/>
    </row>
    <row r="77" spans="1:6" x14ac:dyDescent="0.25">
      <c r="A77" s="8">
        <v>45835</v>
      </c>
      <c r="B77" s="4">
        <v>20521</v>
      </c>
      <c r="C77" s="51" t="s">
        <v>211</v>
      </c>
      <c r="D77" s="8">
        <v>45863</v>
      </c>
      <c r="E77" s="85">
        <v>258</v>
      </c>
      <c r="F77" s="70"/>
    </row>
    <row r="78" spans="1:6" x14ac:dyDescent="0.25">
      <c r="A78" s="8">
        <v>45839</v>
      </c>
      <c r="B78" s="41">
        <v>45658</v>
      </c>
      <c r="C78" s="4" t="s">
        <v>279</v>
      </c>
      <c r="E78" s="34">
        <v>99.99</v>
      </c>
      <c r="F78" s="33"/>
    </row>
    <row r="79" spans="1:6" x14ac:dyDescent="0.25">
      <c r="A79" s="8">
        <v>45840</v>
      </c>
      <c r="B79" s="41">
        <v>45658</v>
      </c>
      <c r="C79" s="4" t="s">
        <v>281</v>
      </c>
      <c r="E79" s="34">
        <v>235</v>
      </c>
      <c r="F79" s="33"/>
    </row>
    <row r="80" spans="1:6" x14ac:dyDescent="0.25">
      <c r="A80" s="8">
        <v>45839</v>
      </c>
      <c r="B80" s="4">
        <v>28080</v>
      </c>
      <c r="C80" s="4" t="s">
        <v>37</v>
      </c>
      <c r="D80" s="8">
        <v>45863</v>
      </c>
      <c r="E80" s="85">
        <v>13</v>
      </c>
      <c r="F80" s="70"/>
    </row>
    <row r="81" spans="1:8" x14ac:dyDescent="0.25">
      <c r="A81" s="8">
        <v>45845</v>
      </c>
      <c r="B81" s="41">
        <v>45658</v>
      </c>
      <c r="C81" s="4" t="s">
        <v>235</v>
      </c>
      <c r="D81" s="8">
        <v>45845</v>
      </c>
      <c r="E81" s="34">
        <v>31</v>
      </c>
      <c r="F81" s="33"/>
    </row>
    <row r="82" spans="1:8" x14ac:dyDescent="0.25">
      <c r="A82" s="8">
        <v>45845</v>
      </c>
      <c r="B82" s="4">
        <v>115470</v>
      </c>
      <c r="C82" s="4" t="s">
        <v>282</v>
      </c>
      <c r="D82" s="8">
        <v>45845</v>
      </c>
      <c r="E82" s="34">
        <v>26.68</v>
      </c>
      <c r="F82" s="33"/>
    </row>
    <row r="83" spans="1:8" x14ac:dyDescent="0.25">
      <c r="A83" s="8">
        <v>45845</v>
      </c>
      <c r="B83" s="4"/>
      <c r="C83" s="4" t="s">
        <v>282</v>
      </c>
      <c r="D83" s="8">
        <v>45845</v>
      </c>
      <c r="E83" s="34">
        <v>55.96</v>
      </c>
      <c r="F83" s="33"/>
    </row>
    <row r="84" spans="1:8" x14ac:dyDescent="0.25">
      <c r="A84" s="8">
        <v>45846</v>
      </c>
      <c r="B84" s="4">
        <v>115497</v>
      </c>
      <c r="C84" s="4" t="s">
        <v>282</v>
      </c>
      <c r="D84" s="8">
        <v>45846</v>
      </c>
      <c r="E84" s="37">
        <v>151.4</v>
      </c>
      <c r="F84" s="33"/>
    </row>
    <row r="85" spans="1:8" x14ac:dyDescent="0.25">
      <c r="A85" s="8">
        <v>45846</v>
      </c>
      <c r="B85" s="4">
        <v>21312</v>
      </c>
      <c r="C85" s="4" t="s">
        <v>268</v>
      </c>
      <c r="D85" s="54">
        <v>45856</v>
      </c>
      <c r="E85" s="85">
        <v>100</v>
      </c>
      <c r="F85" s="70"/>
    </row>
    <row r="86" spans="1:8" x14ac:dyDescent="0.25">
      <c r="A86" s="8">
        <v>45848</v>
      </c>
      <c r="B86" s="41"/>
      <c r="C86" s="32" t="s">
        <v>92</v>
      </c>
      <c r="D86" s="8"/>
      <c r="E86" s="34"/>
      <c r="F86" s="33"/>
      <c r="H86" s="38">
        <v>502</v>
      </c>
    </row>
    <row r="87" spans="1:8" x14ac:dyDescent="0.25">
      <c r="A87" s="8">
        <v>45849</v>
      </c>
      <c r="B87" s="41">
        <v>45658</v>
      </c>
      <c r="C87" s="4" t="s">
        <v>174</v>
      </c>
      <c r="D87" s="8">
        <v>45849</v>
      </c>
      <c r="E87" s="34">
        <v>10.5</v>
      </c>
      <c r="F87" s="33"/>
    </row>
    <row r="88" spans="1:8" x14ac:dyDescent="0.25">
      <c r="A88" s="8">
        <v>45849</v>
      </c>
      <c r="B88" s="41">
        <v>45658</v>
      </c>
      <c r="C88" s="4" t="s">
        <v>282</v>
      </c>
      <c r="D88" s="8">
        <v>45849</v>
      </c>
      <c r="E88" s="34">
        <v>23.21</v>
      </c>
      <c r="F88" s="33"/>
    </row>
    <row r="89" spans="1:8" x14ac:dyDescent="0.25">
      <c r="A89" s="8">
        <v>45849</v>
      </c>
      <c r="B89" s="41">
        <v>45658</v>
      </c>
      <c r="C89" s="4" t="s">
        <v>274</v>
      </c>
      <c r="D89" s="8">
        <v>45849</v>
      </c>
      <c r="E89" s="34">
        <v>99.91</v>
      </c>
      <c r="F89" s="33"/>
    </row>
    <row r="90" spans="1:8" ht="15.75" customHeight="1" x14ac:dyDescent="0.25">
      <c r="A90" s="54">
        <v>45849</v>
      </c>
      <c r="B90" s="88">
        <v>45658</v>
      </c>
      <c r="C90" s="78" t="s">
        <v>286</v>
      </c>
      <c r="D90" s="114"/>
      <c r="E90" s="85">
        <v>182</v>
      </c>
      <c r="F90" s="33"/>
    </row>
    <row r="91" spans="1:8" ht="15.75" customHeight="1" x14ac:dyDescent="0.25">
      <c r="A91" s="29">
        <v>45852</v>
      </c>
      <c r="B91" s="31">
        <v>45719</v>
      </c>
      <c r="C91" s="32" t="s">
        <v>92</v>
      </c>
      <c r="D91" s="29">
        <v>45852</v>
      </c>
      <c r="E91" s="77"/>
      <c r="F91" s="77"/>
      <c r="G91" s="82"/>
      <c r="H91" s="38">
        <v>1354.79</v>
      </c>
    </row>
    <row r="92" spans="1:8" ht="15.75" customHeight="1" x14ac:dyDescent="0.25">
      <c r="A92" s="29">
        <v>45852</v>
      </c>
      <c r="B92" s="31">
        <v>45719</v>
      </c>
      <c r="C92" s="32" t="s">
        <v>235</v>
      </c>
      <c r="D92" s="29">
        <v>45852</v>
      </c>
      <c r="E92" s="115"/>
      <c r="F92" s="33"/>
      <c r="H92" s="38">
        <v>250</v>
      </c>
    </row>
    <row r="93" spans="1:8" ht="15.75" customHeight="1" x14ac:dyDescent="0.25">
      <c r="A93" s="54">
        <v>45852</v>
      </c>
      <c r="B93" s="88">
        <v>45658</v>
      </c>
      <c r="C93" s="78" t="s">
        <v>290</v>
      </c>
      <c r="D93" s="114"/>
      <c r="E93" s="85">
        <v>153.68</v>
      </c>
      <c r="F93" s="33"/>
    </row>
    <row r="94" spans="1:8" ht="15.75" customHeight="1" x14ac:dyDescent="0.25">
      <c r="A94" s="8">
        <v>45813</v>
      </c>
      <c r="B94" s="4">
        <v>18760</v>
      </c>
      <c r="C94" s="4" t="s">
        <v>89</v>
      </c>
      <c r="D94" s="54">
        <v>45843</v>
      </c>
      <c r="E94" s="85">
        <v>249</v>
      </c>
      <c r="F94" s="85"/>
    </row>
    <row r="95" spans="1:8" ht="15.75" customHeight="1" x14ac:dyDescent="0.25">
      <c r="A95" s="8">
        <v>45852</v>
      </c>
      <c r="B95" s="4">
        <v>6486</v>
      </c>
      <c r="C95" s="4" t="s">
        <v>292</v>
      </c>
      <c r="D95" s="8">
        <v>45852</v>
      </c>
      <c r="E95" s="34">
        <v>200</v>
      </c>
      <c r="F95" s="33"/>
    </row>
    <row r="96" spans="1:8" ht="15.75" customHeight="1" x14ac:dyDescent="0.25">
      <c r="A96" s="8">
        <v>45852</v>
      </c>
      <c r="B96" s="41">
        <v>45690</v>
      </c>
      <c r="C96" s="4" t="s">
        <v>293</v>
      </c>
      <c r="D96" s="8">
        <v>45852</v>
      </c>
      <c r="E96" s="34">
        <v>200</v>
      </c>
      <c r="F96" s="33"/>
    </row>
    <row r="97" spans="1:8" ht="15.75" customHeight="1" x14ac:dyDescent="0.25">
      <c r="A97" s="8">
        <v>45853</v>
      </c>
      <c r="B97" s="41">
        <v>45658</v>
      </c>
      <c r="C97" s="4" t="s">
        <v>294</v>
      </c>
      <c r="D97" s="8">
        <v>45853</v>
      </c>
      <c r="E97" s="34">
        <v>1500</v>
      </c>
      <c r="F97" s="34"/>
    </row>
    <row r="98" spans="1:8" ht="15.75" customHeight="1" x14ac:dyDescent="0.25">
      <c r="A98" s="29">
        <v>45854</v>
      </c>
      <c r="B98" s="31">
        <v>45719</v>
      </c>
      <c r="C98" s="32" t="s">
        <v>205</v>
      </c>
      <c r="D98" s="29"/>
      <c r="E98" s="38"/>
      <c r="F98" s="38"/>
      <c r="G98" s="82"/>
      <c r="H98" s="38">
        <v>400</v>
      </c>
    </row>
    <row r="99" spans="1:8" ht="15.75" customHeight="1" x14ac:dyDescent="0.25">
      <c r="A99" s="8">
        <v>45854</v>
      </c>
      <c r="B99" s="41">
        <v>45658</v>
      </c>
      <c r="C99" s="4" t="s">
        <v>297</v>
      </c>
      <c r="D99" s="8">
        <v>45854</v>
      </c>
      <c r="E99" s="34">
        <v>100</v>
      </c>
      <c r="F99" s="34"/>
    </row>
    <row r="100" spans="1:8" ht="15.75" customHeight="1" x14ac:dyDescent="0.25">
      <c r="A100" s="8">
        <v>45854</v>
      </c>
      <c r="B100" s="41">
        <v>45658</v>
      </c>
      <c r="C100" s="4" t="s">
        <v>298</v>
      </c>
      <c r="D100" s="8">
        <v>45854</v>
      </c>
      <c r="E100" s="34">
        <v>300</v>
      </c>
      <c r="F100" s="34"/>
    </row>
    <row r="101" spans="1:8" ht="15.75" customHeight="1" x14ac:dyDescent="0.25">
      <c r="A101" s="8">
        <v>45855</v>
      </c>
      <c r="B101" s="41">
        <v>45690</v>
      </c>
      <c r="C101" s="78" t="s">
        <v>286</v>
      </c>
      <c r="D101" s="114"/>
      <c r="E101" s="85">
        <v>296</v>
      </c>
      <c r="F101" s="118"/>
    </row>
    <row r="102" spans="1:8" ht="15.75" customHeight="1" x14ac:dyDescent="0.25">
      <c r="A102" s="8">
        <v>45855</v>
      </c>
      <c r="B102" s="41">
        <v>45658</v>
      </c>
      <c r="C102" s="102" t="s">
        <v>173</v>
      </c>
      <c r="D102" s="121">
        <v>45855</v>
      </c>
      <c r="E102" s="118">
        <v>185</v>
      </c>
      <c r="F102" s="118"/>
    </row>
    <row r="103" spans="1:8" ht="15.75" customHeight="1" x14ac:dyDescent="0.25">
      <c r="A103" s="8">
        <v>45855</v>
      </c>
      <c r="B103" s="41">
        <v>45658</v>
      </c>
      <c r="C103" s="4" t="s">
        <v>79</v>
      </c>
      <c r="D103" s="8">
        <v>45855</v>
      </c>
      <c r="E103" s="34">
        <v>150</v>
      </c>
      <c r="F103" s="33"/>
    </row>
    <row r="104" spans="1:8" ht="15.75" customHeight="1" x14ac:dyDescent="0.25">
      <c r="A104" s="29">
        <v>45855</v>
      </c>
      <c r="B104" s="31">
        <v>45658</v>
      </c>
      <c r="C104" s="32" t="s">
        <v>302</v>
      </c>
      <c r="D104" s="29">
        <v>45855</v>
      </c>
      <c r="E104" s="82"/>
      <c r="F104" s="77"/>
      <c r="G104" s="82"/>
      <c r="H104" s="38">
        <v>3628.2</v>
      </c>
    </row>
    <row r="105" spans="1:8" ht="15.75" customHeight="1" x14ac:dyDescent="0.25">
      <c r="A105" s="29">
        <v>45856</v>
      </c>
      <c r="B105" s="31">
        <v>45751</v>
      </c>
      <c r="C105" s="32" t="s">
        <v>205</v>
      </c>
      <c r="D105" s="29">
        <v>45856</v>
      </c>
      <c r="E105" s="82"/>
      <c r="F105" s="77"/>
      <c r="G105" s="82"/>
      <c r="H105" s="38">
        <v>706.9</v>
      </c>
    </row>
    <row r="106" spans="1:8" ht="15.75" customHeight="1" x14ac:dyDescent="0.25">
      <c r="A106" s="8">
        <v>45856</v>
      </c>
      <c r="B106" s="41">
        <v>45658</v>
      </c>
      <c r="C106" s="4" t="s">
        <v>178</v>
      </c>
      <c r="D106" s="8">
        <v>45856</v>
      </c>
      <c r="E106" s="34">
        <v>630</v>
      </c>
      <c r="F106" s="34"/>
    </row>
    <row r="107" spans="1:8" ht="15.75" customHeight="1" x14ac:dyDescent="0.25">
      <c r="A107" s="29">
        <v>45859</v>
      </c>
      <c r="B107" s="31">
        <v>45751</v>
      </c>
      <c r="C107" s="32" t="s">
        <v>92</v>
      </c>
      <c r="D107" s="29">
        <v>45859</v>
      </c>
      <c r="E107" s="38"/>
      <c r="F107" s="77"/>
      <c r="G107" s="82"/>
      <c r="H107" s="38">
        <v>1264.93</v>
      </c>
    </row>
    <row r="108" spans="1:8" ht="15.75" customHeight="1" x14ac:dyDescent="0.25">
      <c r="A108" s="8">
        <v>45859</v>
      </c>
      <c r="B108" s="41">
        <v>45658</v>
      </c>
      <c r="C108" s="4" t="s">
        <v>304</v>
      </c>
      <c r="D108" s="8">
        <v>45859</v>
      </c>
      <c r="E108" s="34">
        <v>410</v>
      </c>
      <c r="F108" s="33"/>
    </row>
    <row r="109" spans="1:8" ht="15.75" customHeight="1" x14ac:dyDescent="0.25">
      <c r="A109" s="8">
        <v>45859</v>
      </c>
      <c r="B109" s="41">
        <v>45658</v>
      </c>
      <c r="C109" s="4" t="s">
        <v>79</v>
      </c>
      <c r="D109" s="8">
        <v>45859</v>
      </c>
      <c r="E109" s="34">
        <v>177</v>
      </c>
      <c r="F109" s="33"/>
    </row>
    <row r="110" spans="1:8" ht="15.75" customHeight="1" x14ac:dyDescent="0.25">
      <c r="A110" s="8">
        <v>45860</v>
      </c>
      <c r="B110" s="4">
        <v>15890</v>
      </c>
      <c r="C110" s="4" t="s">
        <v>306</v>
      </c>
      <c r="D110" s="8">
        <v>45860</v>
      </c>
      <c r="E110" s="34">
        <v>145</v>
      </c>
      <c r="F110" s="33"/>
    </row>
    <row r="111" spans="1:8" ht="15.75" customHeight="1" x14ac:dyDescent="0.25">
      <c r="A111" s="8">
        <v>45860</v>
      </c>
      <c r="B111" s="41">
        <v>45658</v>
      </c>
      <c r="C111" s="4" t="s">
        <v>181</v>
      </c>
      <c r="D111" s="54">
        <v>45863</v>
      </c>
      <c r="E111" s="85">
        <v>360</v>
      </c>
      <c r="F111" s="70"/>
    </row>
    <row r="112" spans="1:8" ht="15.75" customHeight="1" x14ac:dyDescent="0.25">
      <c r="A112" s="8">
        <v>45863</v>
      </c>
      <c r="B112" s="41">
        <v>45658</v>
      </c>
      <c r="C112" s="4" t="s">
        <v>92</v>
      </c>
      <c r="D112" s="8">
        <v>45863</v>
      </c>
      <c r="E112" s="33"/>
      <c r="F112" s="33"/>
    </row>
    <row r="113" spans="1:6" ht="15.75" customHeight="1" x14ac:dyDescent="0.25">
      <c r="A113" s="8">
        <v>45867</v>
      </c>
      <c r="B113" s="41">
        <v>45658</v>
      </c>
      <c r="C113" s="4" t="s">
        <v>311</v>
      </c>
      <c r="D113" s="8">
        <v>45869</v>
      </c>
      <c r="E113" s="34">
        <v>35</v>
      </c>
      <c r="F113" s="33"/>
    </row>
    <row r="114" spans="1:6" ht="15.75" customHeight="1" x14ac:dyDescent="0.25">
      <c r="A114" s="8">
        <v>45869</v>
      </c>
      <c r="B114" s="4">
        <v>115890</v>
      </c>
      <c r="C114" s="4" t="s">
        <v>312</v>
      </c>
      <c r="D114" s="8">
        <v>45869</v>
      </c>
      <c r="E114" s="34">
        <v>268.77</v>
      </c>
      <c r="F114" s="33"/>
    </row>
    <row r="115" spans="1:6" ht="15.75" customHeight="1" x14ac:dyDescent="0.25">
      <c r="E115" s="33"/>
      <c r="F115" s="33"/>
    </row>
    <row r="116" spans="1:6" ht="15.75" customHeight="1" x14ac:dyDescent="0.25">
      <c r="E116" s="33"/>
      <c r="F116" s="33"/>
    </row>
    <row r="117" spans="1:6" ht="15.75" customHeight="1" x14ac:dyDescent="0.25">
      <c r="C117" s="4"/>
      <c r="D117" s="8"/>
      <c r="E117" s="33"/>
      <c r="F117" s="34"/>
    </row>
    <row r="118" spans="1:6" ht="15.75" customHeight="1" x14ac:dyDescent="0.25">
      <c r="C118" s="4"/>
      <c r="D118" s="8"/>
      <c r="E118" s="33"/>
      <c r="F118" s="34"/>
    </row>
    <row r="119" spans="1:6" ht="15.75" customHeight="1" x14ac:dyDescent="0.25">
      <c r="C119" s="4"/>
      <c r="E119" s="33"/>
      <c r="F119" s="34"/>
    </row>
    <row r="120" spans="1:6" ht="15.75" customHeight="1" x14ac:dyDescent="0.25">
      <c r="C120" s="4"/>
      <c r="E120" s="33"/>
      <c r="F120" s="34"/>
    </row>
    <row r="121" spans="1:6" ht="15.75" customHeight="1" x14ac:dyDescent="0.25">
      <c r="C121" s="4"/>
      <c r="E121" s="33"/>
      <c r="F121" s="34"/>
    </row>
    <row r="122" spans="1:6" ht="15.75" customHeight="1" x14ac:dyDescent="0.25">
      <c r="C122" s="4"/>
      <c r="D122" s="8"/>
      <c r="E122" s="33"/>
      <c r="F122" s="34"/>
    </row>
    <row r="123" spans="1:6" ht="15.75" customHeight="1" x14ac:dyDescent="0.25">
      <c r="C123" s="127"/>
      <c r="D123" s="128"/>
      <c r="E123" s="129"/>
      <c r="F123" s="130"/>
    </row>
    <row r="124" spans="1:6" ht="15.75" customHeight="1" x14ac:dyDescent="0.25">
      <c r="C124" s="127"/>
      <c r="D124" s="128"/>
      <c r="E124" s="129"/>
      <c r="F124" s="130"/>
    </row>
    <row r="125" spans="1:6" ht="15.75" customHeight="1" x14ac:dyDescent="0.25">
      <c r="C125" s="4" t="s">
        <v>322</v>
      </c>
      <c r="E125" s="34"/>
      <c r="F125" s="34">
        <v>208.75</v>
      </c>
    </row>
    <row r="126" spans="1:6" ht="15.75" customHeight="1" x14ac:dyDescent="0.25">
      <c r="C126" s="4" t="s">
        <v>323</v>
      </c>
      <c r="E126" s="33"/>
      <c r="F126" s="34">
        <v>5.05</v>
      </c>
    </row>
    <row r="127" spans="1:6" ht="15.75" customHeight="1" x14ac:dyDescent="0.25">
      <c r="C127" s="4" t="s">
        <v>324</v>
      </c>
      <c r="D127" s="8">
        <v>45833</v>
      </c>
      <c r="E127" s="27"/>
      <c r="F127" s="34">
        <v>97</v>
      </c>
    </row>
    <row r="128" spans="1:6" ht="15.75" customHeight="1" x14ac:dyDescent="0.25"/>
    <row r="129" spans="5:8" ht="15.75" customHeight="1" x14ac:dyDescent="0.25"/>
    <row r="130" spans="5:8" ht="15.75" customHeight="1" x14ac:dyDescent="0.25"/>
    <row r="131" spans="5:8" ht="15.75" customHeight="1" x14ac:dyDescent="0.25"/>
    <row r="132" spans="5:8" ht="15.75" customHeight="1" x14ac:dyDescent="0.25">
      <c r="E132" s="133">
        <f>SUM(E2:E131)</f>
        <v>44924.509999999995</v>
      </c>
      <c r="F132" s="133">
        <f>SUM(F6:F131)</f>
        <v>310.8</v>
      </c>
      <c r="G132" s="33">
        <f>SUM(E132:F132)</f>
        <v>45235.31</v>
      </c>
    </row>
    <row r="133" spans="5:8" ht="15.75" customHeight="1" x14ac:dyDescent="0.25">
      <c r="H133" s="95">
        <f>SUM(H2:H132)</f>
        <v>36513.950000000004</v>
      </c>
    </row>
    <row r="134" spans="5:8" ht="15.75" customHeight="1" x14ac:dyDescent="0.25"/>
    <row r="135" spans="5:8" ht="15.75" customHeight="1" x14ac:dyDescent="0.25"/>
    <row r="136" spans="5:8" ht="15.75" customHeight="1" x14ac:dyDescent="0.25"/>
    <row r="137" spans="5:8" ht="15.75" customHeight="1" x14ac:dyDescent="0.25"/>
    <row r="138" spans="5:8" ht="15.75" customHeight="1" x14ac:dyDescent="0.25"/>
    <row r="139" spans="5:8" ht="15.75" customHeight="1" x14ac:dyDescent="0.25"/>
    <row r="140" spans="5:8" ht="15.75" customHeight="1" x14ac:dyDescent="0.25"/>
    <row r="141" spans="5:8" ht="15.75" customHeight="1" x14ac:dyDescent="0.25"/>
    <row r="142" spans="5:8" ht="15.75" customHeight="1" x14ac:dyDescent="0.25"/>
    <row r="143" spans="5:8" ht="15.75" customHeight="1" x14ac:dyDescent="0.25"/>
    <row r="144" spans="5:8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50"/>
  <sheetViews>
    <sheetView workbookViewId="0"/>
  </sheetViews>
  <sheetFormatPr defaultColWidth="12.5703125" defaultRowHeight="15" customHeight="1" x14ac:dyDescent="0.25"/>
  <cols>
    <col min="1" max="1" width="11.28515625" customWidth="1"/>
    <col min="2" max="2" width="15.7109375" customWidth="1"/>
    <col min="3" max="3" width="26.5703125" customWidth="1"/>
    <col min="4" max="4" width="15.85546875" customWidth="1"/>
    <col min="5" max="5" width="12.85546875" customWidth="1"/>
    <col min="6" max="6" width="18.5703125" customWidth="1"/>
    <col min="7" max="7" width="21.85546875" customWidth="1"/>
    <col min="8" max="8" width="18.5703125" customWidth="1"/>
    <col min="9" max="9" width="13.42578125" customWidth="1"/>
    <col min="10" max="12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>
        <v>45870</v>
      </c>
      <c r="B2" s="22">
        <v>1</v>
      </c>
      <c r="C2" s="23" t="s">
        <v>77</v>
      </c>
      <c r="D2" s="9"/>
      <c r="E2" s="84"/>
      <c r="F2" s="14"/>
      <c r="G2" s="4"/>
      <c r="H2" s="38">
        <v>2345.2600000000002</v>
      </c>
    </row>
    <row r="3" spans="1:9" x14ac:dyDescent="0.25">
      <c r="A3" s="17">
        <v>45870</v>
      </c>
      <c r="B3" s="97">
        <v>2</v>
      </c>
      <c r="C3" s="32" t="s">
        <v>259</v>
      </c>
      <c r="D3" s="29"/>
      <c r="E3" s="38"/>
      <c r="F3" s="38"/>
      <c r="G3" s="82"/>
      <c r="H3" s="38">
        <v>6419.58</v>
      </c>
    </row>
    <row r="4" spans="1:9" x14ac:dyDescent="0.25">
      <c r="A4" s="8">
        <v>45838</v>
      </c>
      <c r="B4" s="4">
        <v>13</v>
      </c>
      <c r="C4" s="51" t="s">
        <v>261</v>
      </c>
      <c r="D4" s="54">
        <v>45870</v>
      </c>
      <c r="E4" s="85">
        <v>780</v>
      </c>
      <c r="F4" s="85"/>
    </row>
    <row r="5" spans="1:9" x14ac:dyDescent="0.25">
      <c r="A5" s="8">
        <v>45839</v>
      </c>
      <c r="B5" s="4">
        <v>2197</v>
      </c>
      <c r="C5" s="4" t="s">
        <v>67</v>
      </c>
      <c r="D5" s="54">
        <v>45870</v>
      </c>
      <c r="E5" s="85">
        <v>437.22</v>
      </c>
      <c r="F5" s="85"/>
    </row>
    <row r="6" spans="1:9" x14ac:dyDescent="0.25">
      <c r="A6" s="8">
        <v>45841</v>
      </c>
      <c r="B6" s="4">
        <v>2232</v>
      </c>
      <c r="C6" s="4" t="s">
        <v>263</v>
      </c>
      <c r="D6" s="8">
        <v>45870</v>
      </c>
      <c r="E6" s="34">
        <v>225.9</v>
      </c>
      <c r="F6" s="34"/>
    </row>
    <row r="7" spans="1:9" x14ac:dyDescent="0.25">
      <c r="A7" s="8">
        <v>45839</v>
      </c>
      <c r="B7" s="4">
        <v>19755</v>
      </c>
      <c r="C7" s="4" t="s">
        <v>89</v>
      </c>
      <c r="D7" s="54">
        <v>45870</v>
      </c>
      <c r="E7" s="34">
        <v>258.5</v>
      </c>
      <c r="F7" s="34"/>
    </row>
    <row r="8" spans="1:9" x14ac:dyDescent="0.25">
      <c r="A8" s="8">
        <v>45840</v>
      </c>
      <c r="B8" s="4">
        <v>42197</v>
      </c>
      <c r="C8" s="51" t="s">
        <v>166</v>
      </c>
      <c r="D8" s="54">
        <v>45870</v>
      </c>
      <c r="E8" s="34">
        <v>630</v>
      </c>
      <c r="F8" s="34"/>
    </row>
    <row r="9" spans="1:9" x14ac:dyDescent="0.25">
      <c r="A9" s="8">
        <v>45874</v>
      </c>
      <c r="B9" s="4">
        <v>397863</v>
      </c>
      <c r="C9" s="4" t="s">
        <v>267</v>
      </c>
      <c r="D9" s="54">
        <v>45874</v>
      </c>
      <c r="E9" s="85">
        <v>235</v>
      </c>
      <c r="F9" s="111"/>
    </row>
    <row r="10" spans="1:9" x14ac:dyDescent="0.25">
      <c r="A10" s="8">
        <v>45873</v>
      </c>
      <c r="B10" s="81">
        <v>45839</v>
      </c>
      <c r="C10" s="4" t="s">
        <v>175</v>
      </c>
      <c r="D10" s="54">
        <v>45875</v>
      </c>
      <c r="E10" s="85">
        <v>1596</v>
      </c>
      <c r="F10" s="85"/>
      <c r="I10" s="4" t="s">
        <v>270</v>
      </c>
    </row>
    <row r="11" spans="1:9" x14ac:dyDescent="0.25">
      <c r="A11" s="8">
        <v>45873</v>
      </c>
      <c r="B11" s="81">
        <v>45839</v>
      </c>
      <c r="C11" s="4" t="s">
        <v>241</v>
      </c>
      <c r="D11" s="54">
        <v>45875</v>
      </c>
      <c r="E11" s="85">
        <v>2120</v>
      </c>
      <c r="F11" s="85"/>
    </row>
    <row r="12" spans="1:9" x14ac:dyDescent="0.25">
      <c r="A12" s="8">
        <v>45873</v>
      </c>
      <c r="B12" s="81">
        <v>45839</v>
      </c>
      <c r="C12" s="4" t="s">
        <v>244</v>
      </c>
      <c r="D12" s="54">
        <v>45875</v>
      </c>
      <c r="E12" s="85">
        <v>1908</v>
      </c>
      <c r="F12" s="85"/>
    </row>
    <row r="13" spans="1:9" x14ac:dyDescent="0.25">
      <c r="A13" s="8">
        <v>45873</v>
      </c>
      <c r="B13" s="81">
        <v>45839</v>
      </c>
      <c r="C13" s="4" t="s">
        <v>243</v>
      </c>
      <c r="D13" s="54">
        <v>45875</v>
      </c>
      <c r="E13" s="85">
        <v>1312</v>
      </c>
      <c r="F13" s="111"/>
    </row>
    <row r="14" spans="1:9" x14ac:dyDescent="0.25">
      <c r="A14" s="8">
        <v>45842</v>
      </c>
      <c r="B14" s="4">
        <v>16231</v>
      </c>
      <c r="C14" s="4" t="s">
        <v>121</v>
      </c>
      <c r="D14" s="54">
        <v>45875</v>
      </c>
      <c r="E14" s="85">
        <v>418.1</v>
      </c>
      <c r="F14" s="111"/>
    </row>
    <row r="15" spans="1:9" x14ac:dyDescent="0.25">
      <c r="A15" s="8">
        <v>45866</v>
      </c>
      <c r="B15" s="4">
        <v>17324</v>
      </c>
      <c r="C15" s="4" t="s">
        <v>72</v>
      </c>
      <c r="D15" s="54">
        <v>45875</v>
      </c>
      <c r="E15" s="85">
        <v>100</v>
      </c>
      <c r="F15" s="111"/>
    </row>
    <row r="16" spans="1:9" x14ac:dyDescent="0.25">
      <c r="A16" s="8">
        <v>45875</v>
      </c>
      <c r="B16" s="81">
        <v>45658</v>
      </c>
      <c r="C16" s="4" t="s">
        <v>246</v>
      </c>
      <c r="D16" s="54">
        <v>45875</v>
      </c>
      <c r="E16" s="85">
        <v>402.5</v>
      </c>
      <c r="F16" s="111"/>
    </row>
    <row r="17" spans="1:8" x14ac:dyDescent="0.25">
      <c r="A17" s="8">
        <v>45875</v>
      </c>
      <c r="B17" s="81">
        <v>45839</v>
      </c>
      <c r="C17" s="4" t="s">
        <v>123</v>
      </c>
      <c r="D17" s="54">
        <v>45875</v>
      </c>
      <c r="E17" s="85">
        <v>710.88</v>
      </c>
      <c r="F17" s="111"/>
    </row>
    <row r="18" spans="1:8" x14ac:dyDescent="0.25">
      <c r="A18" s="8">
        <v>45875</v>
      </c>
      <c r="B18" s="81">
        <v>45839</v>
      </c>
      <c r="C18" s="51" t="s">
        <v>251</v>
      </c>
      <c r="D18" s="54">
        <v>45875</v>
      </c>
      <c r="E18" s="85">
        <v>311.8</v>
      </c>
      <c r="F18" s="111"/>
    </row>
    <row r="19" spans="1:8" x14ac:dyDescent="0.25">
      <c r="A19" s="8">
        <v>45875</v>
      </c>
      <c r="B19" s="81">
        <v>45839</v>
      </c>
      <c r="C19" s="4" t="s">
        <v>41</v>
      </c>
      <c r="D19" s="54">
        <v>45875</v>
      </c>
      <c r="E19" s="85">
        <v>525</v>
      </c>
      <c r="F19" s="111"/>
    </row>
    <row r="20" spans="1:8" x14ac:dyDescent="0.25">
      <c r="A20" s="8">
        <v>45800</v>
      </c>
      <c r="B20" s="4">
        <v>5139</v>
      </c>
      <c r="C20" s="4" t="s">
        <v>148</v>
      </c>
      <c r="D20" s="54">
        <v>45876</v>
      </c>
      <c r="E20" s="85">
        <v>344</v>
      </c>
      <c r="F20" s="113"/>
    </row>
    <row r="21" spans="1:8" x14ac:dyDescent="0.25">
      <c r="A21" s="8">
        <v>45875</v>
      </c>
      <c r="B21" s="81">
        <v>45839</v>
      </c>
      <c r="C21" s="4" t="s">
        <v>250</v>
      </c>
      <c r="D21" s="54">
        <v>45877</v>
      </c>
      <c r="E21" s="34">
        <v>316</v>
      </c>
      <c r="F21" s="113"/>
    </row>
    <row r="22" spans="1:8" x14ac:dyDescent="0.25">
      <c r="A22" s="8">
        <v>45875</v>
      </c>
      <c r="B22" s="81">
        <v>45839</v>
      </c>
      <c r="C22" s="4" t="s">
        <v>248</v>
      </c>
      <c r="D22" s="54">
        <v>45877</v>
      </c>
      <c r="E22" s="34">
        <v>339</v>
      </c>
      <c r="F22" s="111"/>
    </row>
    <row r="23" spans="1:8" x14ac:dyDescent="0.25">
      <c r="A23" s="8">
        <v>45875</v>
      </c>
      <c r="B23" s="81">
        <v>45839</v>
      </c>
      <c r="C23" s="4" t="s">
        <v>280</v>
      </c>
      <c r="D23" s="54">
        <v>45877</v>
      </c>
      <c r="E23" s="85">
        <v>1686.8</v>
      </c>
      <c r="F23" s="113"/>
    </row>
    <row r="24" spans="1:8" x14ac:dyDescent="0.25">
      <c r="A24" s="8">
        <v>45840</v>
      </c>
      <c r="B24" s="4">
        <v>28165</v>
      </c>
      <c r="C24" s="4" t="s">
        <v>37</v>
      </c>
      <c r="D24" s="54">
        <v>45877</v>
      </c>
      <c r="E24" s="34">
        <v>89</v>
      </c>
      <c r="F24" s="111"/>
      <c r="H24" s="4"/>
    </row>
    <row r="25" spans="1:8" x14ac:dyDescent="0.25">
      <c r="A25" s="8">
        <v>45840</v>
      </c>
      <c r="B25" s="4">
        <v>28164</v>
      </c>
      <c r="C25" s="51" t="s">
        <v>37</v>
      </c>
      <c r="D25" s="54">
        <v>45877</v>
      </c>
      <c r="E25" s="34">
        <v>71.25</v>
      </c>
      <c r="F25" s="111"/>
      <c r="H25" s="4"/>
    </row>
    <row r="26" spans="1:8" x14ac:dyDescent="0.25">
      <c r="A26" s="8">
        <v>45842</v>
      </c>
      <c r="B26" s="4">
        <v>20579</v>
      </c>
      <c r="C26" s="4" t="s">
        <v>283</v>
      </c>
      <c r="D26" s="8">
        <v>45877</v>
      </c>
      <c r="E26" s="34">
        <v>73.06</v>
      </c>
      <c r="F26" s="111"/>
    </row>
    <row r="27" spans="1:8" x14ac:dyDescent="0.25">
      <c r="A27" s="8">
        <v>45873</v>
      </c>
      <c r="B27" s="81">
        <v>45839</v>
      </c>
      <c r="C27" s="4" t="s">
        <v>257</v>
      </c>
      <c r="D27" s="54">
        <v>45874</v>
      </c>
      <c r="E27" s="33"/>
      <c r="F27" s="111">
        <v>5000</v>
      </c>
    </row>
    <row r="28" spans="1:8" x14ac:dyDescent="0.25">
      <c r="A28" s="8" t="s">
        <v>285</v>
      </c>
      <c r="B28" s="4">
        <v>116043</v>
      </c>
      <c r="C28" s="4" t="s">
        <v>287</v>
      </c>
      <c r="D28" s="54">
        <v>45876</v>
      </c>
      <c r="E28" s="85">
        <v>433.68</v>
      </c>
      <c r="F28" s="111"/>
    </row>
    <row r="29" spans="1:8" x14ac:dyDescent="0.25">
      <c r="A29" s="8">
        <v>45874</v>
      </c>
      <c r="B29" s="81">
        <v>45870</v>
      </c>
      <c r="C29" s="4" t="s">
        <v>245</v>
      </c>
      <c r="D29" s="54">
        <v>45877</v>
      </c>
      <c r="E29" s="85">
        <v>800</v>
      </c>
      <c r="F29" s="111"/>
    </row>
    <row r="30" spans="1:8" x14ac:dyDescent="0.25">
      <c r="A30" s="8">
        <v>45845</v>
      </c>
      <c r="B30" s="4">
        <v>19919</v>
      </c>
      <c r="C30" s="4" t="s">
        <v>89</v>
      </c>
      <c r="D30" s="54">
        <v>45877</v>
      </c>
      <c r="E30" s="85">
        <v>159.9</v>
      </c>
      <c r="F30" s="111"/>
    </row>
    <row r="31" spans="1:8" x14ac:dyDescent="0.25">
      <c r="A31" s="8">
        <v>45846</v>
      </c>
      <c r="B31" s="4">
        <v>2287</v>
      </c>
      <c r="C31" s="4" t="s">
        <v>263</v>
      </c>
      <c r="D31" s="54">
        <v>45877</v>
      </c>
      <c r="E31" s="85">
        <v>1296.18</v>
      </c>
      <c r="F31" s="111"/>
    </row>
    <row r="32" spans="1:8" x14ac:dyDescent="0.25">
      <c r="A32" s="8">
        <v>45846</v>
      </c>
      <c r="B32" s="4">
        <v>2299</v>
      </c>
      <c r="C32" s="4" t="s">
        <v>263</v>
      </c>
      <c r="D32" s="54">
        <v>45877</v>
      </c>
      <c r="E32" s="85">
        <v>114.84</v>
      </c>
      <c r="F32" s="111"/>
    </row>
    <row r="33" spans="1:9" x14ac:dyDescent="0.25">
      <c r="A33" s="8">
        <v>45877</v>
      </c>
      <c r="B33" s="81">
        <v>45870</v>
      </c>
      <c r="C33" s="4" t="s">
        <v>262</v>
      </c>
      <c r="D33" s="54">
        <v>45877</v>
      </c>
      <c r="E33" s="85">
        <v>550</v>
      </c>
      <c r="F33" s="111"/>
    </row>
    <row r="34" spans="1:9" x14ac:dyDescent="0.25">
      <c r="A34" s="8">
        <v>45899</v>
      </c>
      <c r="B34" s="81">
        <v>45839</v>
      </c>
      <c r="C34" s="4" t="s">
        <v>291</v>
      </c>
      <c r="D34" s="54">
        <v>45877</v>
      </c>
      <c r="E34" s="85">
        <v>1048.45</v>
      </c>
      <c r="F34" s="111"/>
    </row>
    <row r="35" spans="1:9" x14ac:dyDescent="0.25">
      <c r="A35" s="8">
        <v>45846</v>
      </c>
      <c r="B35" s="4">
        <v>23959</v>
      </c>
      <c r="C35" s="4" t="s">
        <v>193</v>
      </c>
      <c r="D35" s="54">
        <v>45877</v>
      </c>
      <c r="E35" s="85">
        <v>154.80000000000001</v>
      </c>
      <c r="F35" s="111"/>
    </row>
    <row r="36" spans="1:9" x14ac:dyDescent="0.25">
      <c r="A36" s="8">
        <v>45848</v>
      </c>
      <c r="B36" s="4">
        <v>2315</v>
      </c>
      <c r="C36" s="4" t="s">
        <v>263</v>
      </c>
      <c r="D36" s="54">
        <v>45877</v>
      </c>
      <c r="E36" s="85">
        <v>36.9</v>
      </c>
      <c r="F36" s="111"/>
    </row>
    <row r="37" spans="1:9" x14ac:dyDescent="0.25">
      <c r="A37" s="8">
        <v>45848</v>
      </c>
      <c r="B37" s="4">
        <v>28596</v>
      </c>
      <c r="C37" s="4" t="s">
        <v>37</v>
      </c>
      <c r="D37" s="54">
        <v>45877</v>
      </c>
      <c r="E37" s="85">
        <v>71.25</v>
      </c>
      <c r="F37" s="111"/>
    </row>
    <row r="38" spans="1:9" x14ac:dyDescent="0.25">
      <c r="A38" s="8">
        <v>45877</v>
      </c>
      <c r="B38" s="4">
        <v>709</v>
      </c>
      <c r="C38" s="4" t="s">
        <v>295</v>
      </c>
      <c r="D38" s="8">
        <v>45877</v>
      </c>
      <c r="E38" s="34">
        <v>1637.5</v>
      </c>
      <c r="F38" s="34"/>
    </row>
    <row r="39" spans="1:9" x14ac:dyDescent="0.25">
      <c r="A39" s="54">
        <v>45873</v>
      </c>
      <c r="B39" s="116">
        <v>45839</v>
      </c>
      <c r="C39" s="78" t="s">
        <v>258</v>
      </c>
      <c r="D39" s="54">
        <v>45877</v>
      </c>
      <c r="E39" s="85">
        <v>110</v>
      </c>
      <c r="F39" s="111"/>
    </row>
    <row r="40" spans="1:9" x14ac:dyDescent="0.25">
      <c r="A40" s="54">
        <v>45873</v>
      </c>
      <c r="B40" s="116">
        <v>45839</v>
      </c>
      <c r="C40" s="78" t="s">
        <v>299</v>
      </c>
      <c r="D40" s="54">
        <v>45877</v>
      </c>
      <c r="E40" s="85">
        <v>185</v>
      </c>
      <c r="F40" s="111"/>
    </row>
    <row r="41" spans="1:9" x14ac:dyDescent="0.25">
      <c r="A41" s="117">
        <v>45846</v>
      </c>
      <c r="B41" s="119">
        <v>66075</v>
      </c>
      <c r="C41" s="120" t="s">
        <v>125</v>
      </c>
      <c r="D41" s="54">
        <v>45882</v>
      </c>
      <c r="E41" s="55">
        <v>87.21</v>
      </c>
      <c r="F41" s="122"/>
    </row>
    <row r="42" spans="1:9" x14ac:dyDescent="0.25">
      <c r="A42" s="123">
        <v>45853</v>
      </c>
      <c r="B42" s="120">
        <v>66116</v>
      </c>
      <c r="C42" s="120" t="s">
        <v>125</v>
      </c>
      <c r="D42" s="54">
        <v>45882</v>
      </c>
      <c r="E42" s="55">
        <v>7.13</v>
      </c>
      <c r="F42" s="122"/>
    </row>
    <row r="43" spans="1:9" x14ac:dyDescent="0.25">
      <c r="A43" s="117">
        <v>45859</v>
      </c>
      <c r="B43" s="119">
        <v>66175</v>
      </c>
      <c r="C43" s="120" t="s">
        <v>125</v>
      </c>
      <c r="D43" s="54">
        <v>45882</v>
      </c>
      <c r="E43" s="55">
        <v>2.85</v>
      </c>
      <c r="F43" s="124"/>
    </row>
    <row r="44" spans="1:9" x14ac:dyDescent="0.25">
      <c r="A44" s="117">
        <v>45863</v>
      </c>
      <c r="B44" s="119">
        <v>6628</v>
      </c>
      <c r="C44" s="119" t="s">
        <v>125</v>
      </c>
      <c r="D44" s="54">
        <v>45882</v>
      </c>
      <c r="E44" s="55">
        <v>16.440000000000001</v>
      </c>
      <c r="F44" s="124"/>
    </row>
    <row r="45" spans="1:9" x14ac:dyDescent="0.25">
      <c r="A45" s="8">
        <v>45848</v>
      </c>
      <c r="B45" s="4">
        <v>38367</v>
      </c>
      <c r="C45" s="4" t="s">
        <v>116</v>
      </c>
      <c r="D45" s="54">
        <v>45882</v>
      </c>
      <c r="E45" s="85">
        <v>816</v>
      </c>
      <c r="F45" s="111"/>
    </row>
    <row r="46" spans="1:9" x14ac:dyDescent="0.25">
      <c r="A46" s="8">
        <v>45848</v>
      </c>
      <c r="B46" s="4">
        <v>20079</v>
      </c>
      <c r="C46" s="4" t="s">
        <v>89</v>
      </c>
      <c r="D46" s="54">
        <v>45882</v>
      </c>
      <c r="E46" s="55">
        <v>80</v>
      </c>
      <c r="F46" s="111"/>
    </row>
    <row r="47" spans="1:9" x14ac:dyDescent="0.25">
      <c r="A47" s="8">
        <v>45849</v>
      </c>
      <c r="B47" s="4">
        <v>20087</v>
      </c>
      <c r="C47" s="4" t="s">
        <v>89</v>
      </c>
      <c r="D47" s="54">
        <v>45882</v>
      </c>
      <c r="E47" s="55">
        <v>140</v>
      </c>
      <c r="F47" s="111"/>
    </row>
    <row r="48" spans="1:9" x14ac:dyDescent="0.25">
      <c r="A48" s="8">
        <v>45851</v>
      </c>
      <c r="B48" s="81">
        <v>45839</v>
      </c>
      <c r="C48" s="4" t="s">
        <v>163</v>
      </c>
      <c r="D48" s="54">
        <v>45882</v>
      </c>
      <c r="E48" s="85">
        <v>53.08</v>
      </c>
      <c r="F48" s="111"/>
      <c r="I48" s="4" t="s">
        <v>303</v>
      </c>
    </row>
    <row r="49" spans="1:9" x14ac:dyDescent="0.25">
      <c r="A49" s="8">
        <v>45852</v>
      </c>
      <c r="B49" s="4">
        <v>2350</v>
      </c>
      <c r="C49" s="4" t="s">
        <v>263</v>
      </c>
      <c r="D49" s="54">
        <v>45882</v>
      </c>
      <c r="E49" s="85">
        <v>63.6</v>
      </c>
      <c r="F49" s="111"/>
    </row>
    <row r="50" spans="1:9" x14ac:dyDescent="0.25">
      <c r="A50" s="8">
        <v>45852</v>
      </c>
      <c r="B50" s="4">
        <v>28826</v>
      </c>
      <c r="C50" s="4" t="s">
        <v>37</v>
      </c>
      <c r="D50" s="54">
        <v>45882</v>
      </c>
      <c r="E50" s="85">
        <v>742.52</v>
      </c>
      <c r="F50" s="111"/>
      <c r="I50" s="4" t="s">
        <v>305</v>
      </c>
    </row>
    <row r="51" spans="1:9" x14ac:dyDescent="0.25">
      <c r="A51" s="8">
        <v>45852</v>
      </c>
      <c r="B51" s="4">
        <v>207515</v>
      </c>
      <c r="C51" s="4" t="s">
        <v>227</v>
      </c>
      <c r="D51" s="54">
        <v>45882</v>
      </c>
      <c r="E51" s="85">
        <v>16.2</v>
      </c>
      <c r="F51" s="111"/>
    </row>
    <row r="52" spans="1:9" x14ac:dyDescent="0.25">
      <c r="A52" s="8">
        <v>45860</v>
      </c>
      <c r="B52" s="4">
        <v>207711</v>
      </c>
      <c r="C52" s="4" t="s">
        <v>227</v>
      </c>
      <c r="D52" s="8">
        <v>45882</v>
      </c>
      <c r="E52" s="34">
        <v>130</v>
      </c>
      <c r="F52" s="34"/>
    </row>
    <row r="53" spans="1:9" x14ac:dyDescent="0.25">
      <c r="A53" s="45">
        <v>45852</v>
      </c>
      <c r="B53" s="4">
        <v>20615</v>
      </c>
      <c r="C53" s="4" t="s">
        <v>211</v>
      </c>
      <c r="D53" s="8">
        <v>45882</v>
      </c>
      <c r="E53" s="34">
        <v>258</v>
      </c>
      <c r="F53" s="34"/>
    </row>
    <row r="54" spans="1:9" x14ac:dyDescent="0.25">
      <c r="A54" s="8">
        <v>45852</v>
      </c>
      <c r="B54" s="4">
        <v>17518</v>
      </c>
      <c r="C54" s="4" t="s">
        <v>121</v>
      </c>
      <c r="D54" s="8">
        <v>45882</v>
      </c>
      <c r="E54" s="34">
        <v>468.8</v>
      </c>
      <c r="F54" s="34"/>
    </row>
    <row r="55" spans="1:9" x14ac:dyDescent="0.25">
      <c r="A55" s="8">
        <v>45853</v>
      </c>
      <c r="B55" s="4">
        <v>200545</v>
      </c>
      <c r="C55" s="4" t="s">
        <v>308</v>
      </c>
      <c r="D55" s="8">
        <v>45882</v>
      </c>
      <c r="E55" s="34">
        <v>300</v>
      </c>
      <c r="F55" s="34"/>
      <c r="I55" s="4" t="s">
        <v>310</v>
      </c>
    </row>
    <row r="56" spans="1:9" x14ac:dyDescent="0.25">
      <c r="A56" s="8">
        <v>45852</v>
      </c>
      <c r="B56" s="4">
        <v>2382</v>
      </c>
      <c r="C56" s="4" t="s">
        <v>263</v>
      </c>
      <c r="D56" s="8">
        <v>45882</v>
      </c>
      <c r="E56" s="34">
        <v>271.14999999999998</v>
      </c>
      <c r="F56" s="34"/>
    </row>
    <row r="57" spans="1:9" x14ac:dyDescent="0.25">
      <c r="A57" s="8">
        <v>45854</v>
      </c>
      <c r="B57" s="4">
        <v>2399</v>
      </c>
      <c r="C57" s="4" t="s">
        <v>263</v>
      </c>
      <c r="D57" s="8">
        <v>45882</v>
      </c>
      <c r="E57" s="34">
        <v>185.4</v>
      </c>
      <c r="F57" s="34"/>
    </row>
    <row r="58" spans="1:9" x14ac:dyDescent="0.25">
      <c r="A58" s="8">
        <v>45854</v>
      </c>
      <c r="B58" s="4">
        <v>28993</v>
      </c>
      <c r="C58" s="4" t="s">
        <v>37</v>
      </c>
      <c r="D58" s="8">
        <v>45882</v>
      </c>
      <c r="E58" s="34">
        <v>84.08</v>
      </c>
      <c r="F58" s="34"/>
      <c r="I58" s="4" t="s">
        <v>313</v>
      </c>
    </row>
    <row r="59" spans="1:9" ht="15.75" customHeight="1" x14ac:dyDescent="0.25">
      <c r="A59" s="8">
        <v>45853</v>
      </c>
      <c r="B59" s="4">
        <v>5919</v>
      </c>
      <c r="C59" s="4" t="s">
        <v>85</v>
      </c>
      <c r="D59" s="8">
        <v>45882</v>
      </c>
      <c r="E59" s="34">
        <v>652.79999999999995</v>
      </c>
      <c r="F59" s="34"/>
    </row>
    <row r="60" spans="1:9" ht="15.75" customHeight="1" x14ac:dyDescent="0.25">
      <c r="A60" s="8">
        <v>45860</v>
      </c>
      <c r="B60" s="4">
        <v>15064</v>
      </c>
      <c r="C60" s="4" t="s">
        <v>315</v>
      </c>
      <c r="D60" s="8">
        <v>45882</v>
      </c>
      <c r="E60" s="34">
        <v>245.96</v>
      </c>
      <c r="F60" s="34"/>
    </row>
    <row r="61" spans="1:9" ht="15.75" customHeight="1" x14ac:dyDescent="0.25">
      <c r="A61" s="8">
        <v>45882</v>
      </c>
      <c r="B61" s="81">
        <v>45870</v>
      </c>
      <c r="C61" s="4" t="s">
        <v>316</v>
      </c>
      <c r="D61" s="8">
        <v>45882</v>
      </c>
      <c r="E61" s="34">
        <v>99.99</v>
      </c>
      <c r="F61" s="34"/>
    </row>
    <row r="62" spans="1:9" ht="15.75" customHeight="1" x14ac:dyDescent="0.25">
      <c r="A62" s="8">
        <v>45882</v>
      </c>
      <c r="B62" s="41">
        <v>45658</v>
      </c>
      <c r="C62" s="4" t="s">
        <v>317</v>
      </c>
      <c r="D62" s="8">
        <v>45882</v>
      </c>
      <c r="E62" s="34">
        <v>260</v>
      </c>
      <c r="F62" s="34"/>
    </row>
    <row r="63" spans="1:9" ht="15.75" customHeight="1" x14ac:dyDescent="0.25">
      <c r="A63" s="8">
        <v>45884</v>
      </c>
      <c r="B63" s="4">
        <v>301045</v>
      </c>
      <c r="C63" s="4" t="s">
        <v>319</v>
      </c>
      <c r="D63" s="8">
        <v>45884</v>
      </c>
      <c r="E63" s="34">
        <v>51.97</v>
      </c>
      <c r="F63" s="56"/>
    </row>
    <row r="64" spans="1:9" ht="15.75" customHeight="1" x14ac:dyDescent="0.25">
      <c r="A64" s="8">
        <v>45854</v>
      </c>
      <c r="B64" s="4">
        <v>24044</v>
      </c>
      <c r="C64" s="4" t="s">
        <v>193</v>
      </c>
      <c r="D64" s="8">
        <v>45888</v>
      </c>
      <c r="E64" s="34">
        <v>210</v>
      </c>
      <c r="F64" s="56"/>
    </row>
    <row r="65" spans="1:7" ht="15.75" customHeight="1" x14ac:dyDescent="0.25">
      <c r="A65" s="8">
        <v>45855</v>
      </c>
      <c r="B65" s="4">
        <v>2430</v>
      </c>
      <c r="C65" s="4" t="s">
        <v>263</v>
      </c>
      <c r="D65" s="8">
        <v>45897</v>
      </c>
      <c r="E65" s="34">
        <v>53.8</v>
      </c>
      <c r="F65" s="56" t="s">
        <v>236</v>
      </c>
    </row>
    <row r="66" spans="1:7" ht="15.75" customHeight="1" x14ac:dyDescent="0.25">
      <c r="A66" s="8">
        <v>45855</v>
      </c>
      <c r="B66" s="4">
        <v>64068</v>
      </c>
      <c r="C66" s="4" t="s">
        <v>197</v>
      </c>
      <c r="D66" s="8">
        <v>45888</v>
      </c>
      <c r="E66" s="34">
        <v>55.67</v>
      </c>
      <c r="F66" s="34"/>
    </row>
    <row r="67" spans="1:7" ht="15.75" customHeight="1" x14ac:dyDescent="0.25">
      <c r="A67" s="8">
        <v>45856</v>
      </c>
      <c r="B67" s="4">
        <v>42657</v>
      </c>
      <c r="C67" s="4" t="s">
        <v>166</v>
      </c>
      <c r="D67" s="8">
        <v>45888</v>
      </c>
      <c r="E67" s="34">
        <v>630</v>
      </c>
      <c r="F67" s="34"/>
    </row>
    <row r="68" spans="1:7" ht="15.75" customHeight="1" x14ac:dyDescent="0.25">
      <c r="A68" s="8">
        <v>45888</v>
      </c>
      <c r="B68" s="81">
        <v>45658</v>
      </c>
      <c r="C68" s="51" t="s">
        <v>141</v>
      </c>
      <c r="D68" s="8">
        <v>45888</v>
      </c>
      <c r="E68" s="34">
        <v>74</v>
      </c>
      <c r="F68" s="34"/>
    </row>
    <row r="69" spans="1:7" ht="15.75" customHeight="1" x14ac:dyDescent="0.25">
      <c r="A69" s="8">
        <v>45875</v>
      </c>
      <c r="B69" s="81">
        <v>45839</v>
      </c>
      <c r="C69" s="51" t="s">
        <v>151</v>
      </c>
      <c r="D69" s="8">
        <v>45888</v>
      </c>
      <c r="E69" s="34">
        <v>76.900000000000006</v>
      </c>
      <c r="F69" s="56" t="s">
        <v>236</v>
      </c>
    </row>
    <row r="70" spans="1:7" ht="15.75" customHeight="1" x14ac:dyDescent="0.25">
      <c r="A70" s="8">
        <v>45882</v>
      </c>
      <c r="B70" s="81">
        <v>45839</v>
      </c>
      <c r="C70" s="4" t="s">
        <v>275</v>
      </c>
      <c r="D70" s="8">
        <v>45888</v>
      </c>
      <c r="E70" s="34">
        <v>310.64</v>
      </c>
      <c r="F70" s="34"/>
    </row>
    <row r="71" spans="1:7" ht="15.75" customHeight="1" x14ac:dyDescent="0.25">
      <c r="A71" s="8">
        <v>45882</v>
      </c>
      <c r="B71" s="81">
        <v>45839</v>
      </c>
      <c r="C71" s="4" t="s">
        <v>184</v>
      </c>
      <c r="D71" s="8">
        <v>45889</v>
      </c>
      <c r="E71" s="34">
        <v>813.9</v>
      </c>
      <c r="F71" s="34"/>
    </row>
    <row r="72" spans="1:7" ht="15.75" customHeight="1" x14ac:dyDescent="0.25">
      <c r="A72" s="8">
        <v>45859</v>
      </c>
      <c r="B72" s="4">
        <v>450</v>
      </c>
      <c r="C72" s="4" t="s">
        <v>96</v>
      </c>
      <c r="D72" s="8">
        <v>45888</v>
      </c>
      <c r="E72" s="34">
        <v>380</v>
      </c>
      <c r="F72" s="56" t="s">
        <v>236</v>
      </c>
    </row>
    <row r="73" spans="1:7" ht="15.75" customHeight="1" x14ac:dyDescent="0.25">
      <c r="A73" s="8">
        <v>45888</v>
      </c>
      <c r="B73" s="41">
        <v>45658</v>
      </c>
      <c r="C73" s="4" t="s">
        <v>178</v>
      </c>
      <c r="D73" s="8">
        <v>45888</v>
      </c>
      <c r="E73" s="34">
        <v>668</v>
      </c>
      <c r="F73" s="56" t="s">
        <v>236</v>
      </c>
    </row>
    <row r="74" spans="1:7" ht="15.75" customHeight="1" x14ac:dyDescent="0.25">
      <c r="A74" s="8">
        <v>45866</v>
      </c>
      <c r="B74" s="4">
        <v>2548</v>
      </c>
      <c r="C74" s="4" t="s">
        <v>263</v>
      </c>
      <c r="D74" s="8">
        <v>45897</v>
      </c>
      <c r="E74" s="34">
        <v>205.2</v>
      </c>
      <c r="F74" s="56" t="s">
        <v>236</v>
      </c>
      <c r="G74" s="40"/>
    </row>
    <row r="75" spans="1:7" ht="15.75" customHeight="1" x14ac:dyDescent="0.25">
      <c r="A75" s="8">
        <v>45862</v>
      </c>
      <c r="B75" s="4">
        <v>5433</v>
      </c>
      <c r="C75" s="4" t="s">
        <v>148</v>
      </c>
      <c r="D75" s="8">
        <v>45894</v>
      </c>
      <c r="E75" s="85">
        <v>140</v>
      </c>
      <c r="F75" s="70"/>
    </row>
    <row r="76" spans="1:7" ht="15.75" customHeight="1" x14ac:dyDescent="0.25">
      <c r="A76" s="8">
        <v>45862</v>
      </c>
      <c r="B76" s="4">
        <v>20549</v>
      </c>
      <c r="C76" s="4" t="s">
        <v>89</v>
      </c>
      <c r="D76" s="8">
        <v>45895</v>
      </c>
      <c r="E76" s="85">
        <v>180.5</v>
      </c>
      <c r="F76" s="56" t="s">
        <v>236</v>
      </c>
    </row>
    <row r="77" spans="1:7" ht="15.75" customHeight="1" x14ac:dyDescent="0.25">
      <c r="A77" s="8">
        <v>45863</v>
      </c>
      <c r="B77" s="4">
        <v>2543</v>
      </c>
      <c r="C77" s="4" t="s">
        <v>263</v>
      </c>
      <c r="D77" s="8">
        <v>45897</v>
      </c>
      <c r="E77" s="85">
        <v>158.94999999999999</v>
      </c>
      <c r="F77" s="56" t="s">
        <v>236</v>
      </c>
    </row>
    <row r="78" spans="1:7" ht="15.75" customHeight="1" x14ac:dyDescent="0.25">
      <c r="A78" s="8">
        <v>45863</v>
      </c>
      <c r="B78" s="4">
        <v>2542</v>
      </c>
      <c r="C78" s="4" t="s">
        <v>263</v>
      </c>
      <c r="D78" s="8">
        <v>45897</v>
      </c>
      <c r="E78" s="85">
        <v>215.4</v>
      </c>
      <c r="F78" s="56" t="s">
        <v>236</v>
      </c>
    </row>
    <row r="79" spans="1:7" ht="15.75" customHeight="1" x14ac:dyDescent="0.25">
      <c r="A79" s="8">
        <v>45894</v>
      </c>
      <c r="B79" s="4">
        <v>91060</v>
      </c>
      <c r="C79" s="4" t="s">
        <v>284</v>
      </c>
      <c r="D79" s="8">
        <v>45894</v>
      </c>
      <c r="E79" s="34">
        <v>14.1</v>
      </c>
      <c r="F79" s="70"/>
    </row>
    <row r="80" spans="1:7" ht="15.75" customHeight="1" x14ac:dyDescent="0.25">
      <c r="A80" s="8">
        <v>45894</v>
      </c>
      <c r="B80" s="41">
        <v>45658</v>
      </c>
      <c r="C80" s="4" t="s">
        <v>339</v>
      </c>
      <c r="D80" s="8">
        <v>45894</v>
      </c>
      <c r="E80" s="34">
        <v>120</v>
      </c>
      <c r="F80" s="56" t="s">
        <v>236</v>
      </c>
    </row>
    <row r="81" spans="1:6" ht="15.75" customHeight="1" x14ac:dyDescent="0.25">
      <c r="A81" s="8">
        <v>45895</v>
      </c>
      <c r="B81" s="41">
        <v>45690</v>
      </c>
      <c r="C81" s="4" t="s">
        <v>181</v>
      </c>
      <c r="D81" s="8">
        <v>45834</v>
      </c>
      <c r="E81" s="85">
        <v>360</v>
      </c>
      <c r="F81" s="56" t="s">
        <v>236</v>
      </c>
    </row>
    <row r="82" spans="1:6" ht="15.75" customHeight="1" x14ac:dyDescent="0.25">
      <c r="A82" s="8">
        <v>45863</v>
      </c>
      <c r="B82" s="4">
        <v>38498</v>
      </c>
      <c r="C82" s="4" t="s">
        <v>116</v>
      </c>
      <c r="D82" s="8">
        <v>45834</v>
      </c>
      <c r="E82" s="34">
        <v>93.5</v>
      </c>
      <c r="F82" s="56" t="s">
        <v>236</v>
      </c>
    </row>
    <row r="83" spans="1:6" ht="15.75" customHeight="1" x14ac:dyDescent="0.25">
      <c r="A83" s="8">
        <v>45867</v>
      </c>
      <c r="B83" s="4">
        <v>2565</v>
      </c>
      <c r="C83" s="4" t="s">
        <v>263</v>
      </c>
      <c r="D83" s="8">
        <v>45897</v>
      </c>
      <c r="E83" s="34">
        <v>11.9</v>
      </c>
      <c r="F83" s="56" t="s">
        <v>236</v>
      </c>
    </row>
    <row r="84" spans="1:6" ht="15.75" customHeight="1" x14ac:dyDescent="0.25">
      <c r="A84" s="8">
        <v>45867</v>
      </c>
      <c r="B84" s="4">
        <v>38542</v>
      </c>
      <c r="C84" s="4" t="s">
        <v>116</v>
      </c>
      <c r="D84" s="8">
        <v>45895</v>
      </c>
      <c r="E84" s="34">
        <v>77</v>
      </c>
      <c r="F84" s="56" t="s">
        <v>236</v>
      </c>
    </row>
    <row r="85" spans="1:6" ht="15.75" customHeight="1" x14ac:dyDescent="0.25">
      <c r="A85" s="8">
        <v>45856</v>
      </c>
      <c r="B85" s="4">
        <v>20350</v>
      </c>
      <c r="C85" s="4" t="s">
        <v>89</v>
      </c>
      <c r="D85" s="8">
        <v>45897</v>
      </c>
      <c r="E85" s="34">
        <v>249</v>
      </c>
      <c r="F85" s="56" t="s">
        <v>236</v>
      </c>
    </row>
    <row r="86" spans="1:6" ht="15.75" customHeight="1" x14ac:dyDescent="0.25">
      <c r="A86" s="8">
        <v>45869</v>
      </c>
      <c r="B86" s="4">
        <v>20730</v>
      </c>
      <c r="C86" s="4" t="s">
        <v>211</v>
      </c>
      <c r="D86" s="8">
        <v>45897</v>
      </c>
      <c r="E86" s="34">
        <v>71.540000000000006</v>
      </c>
      <c r="F86" s="56" t="s">
        <v>236</v>
      </c>
    </row>
    <row r="87" spans="1:6" ht="15.75" customHeight="1" x14ac:dyDescent="0.25">
      <c r="A87" s="8">
        <v>45869</v>
      </c>
      <c r="B87" s="4">
        <v>42940</v>
      </c>
      <c r="C87" s="4" t="s">
        <v>166</v>
      </c>
      <c r="D87" s="8">
        <v>45897</v>
      </c>
      <c r="E87" s="34">
        <v>630</v>
      </c>
      <c r="F87" s="56" t="s">
        <v>236</v>
      </c>
    </row>
    <row r="88" spans="1:6" ht="15.75" customHeight="1" x14ac:dyDescent="0.25">
      <c r="A88" s="8">
        <v>45869</v>
      </c>
      <c r="B88" s="4">
        <v>2598</v>
      </c>
      <c r="C88" s="4" t="s">
        <v>67</v>
      </c>
      <c r="D88" s="8">
        <v>45897</v>
      </c>
      <c r="E88" s="34">
        <v>184.5</v>
      </c>
      <c r="F88" s="56" t="s">
        <v>236</v>
      </c>
    </row>
    <row r="89" spans="1:6" ht="15.75" customHeight="1" x14ac:dyDescent="0.25">
      <c r="A89" s="8">
        <v>45869</v>
      </c>
      <c r="B89" s="4">
        <v>17616</v>
      </c>
      <c r="C89" s="4" t="s">
        <v>121</v>
      </c>
      <c r="D89" s="8">
        <v>45899</v>
      </c>
      <c r="E89" s="47" t="s">
        <v>347</v>
      </c>
      <c r="F89" s="56" t="s">
        <v>236</v>
      </c>
    </row>
    <row r="90" spans="1:6" ht="15.75" customHeight="1" x14ac:dyDescent="0.25">
      <c r="A90" s="8">
        <v>45869</v>
      </c>
      <c r="B90" s="4">
        <v>38559</v>
      </c>
      <c r="C90" s="4" t="s">
        <v>116</v>
      </c>
      <c r="D90" s="8">
        <v>45895</v>
      </c>
      <c r="E90" s="34">
        <v>136</v>
      </c>
      <c r="F90" s="56" t="s">
        <v>236</v>
      </c>
    </row>
    <row r="91" spans="1:6" ht="15.75" customHeight="1" x14ac:dyDescent="0.25">
      <c r="A91" s="8">
        <v>45870</v>
      </c>
      <c r="B91" s="4">
        <v>2633</v>
      </c>
      <c r="C91" s="4" t="s">
        <v>67</v>
      </c>
      <c r="D91" s="8">
        <v>45897</v>
      </c>
      <c r="E91" s="34">
        <v>63.6</v>
      </c>
      <c r="F91" s="56" t="s">
        <v>236</v>
      </c>
    </row>
    <row r="92" spans="1:6" ht="15.75" customHeight="1" x14ac:dyDescent="0.25">
      <c r="A92" s="8">
        <v>45897</v>
      </c>
      <c r="B92" s="4">
        <v>116464</v>
      </c>
      <c r="C92" s="4" t="s">
        <v>287</v>
      </c>
      <c r="D92" s="8">
        <v>45897</v>
      </c>
      <c r="E92" s="34">
        <v>191.85</v>
      </c>
      <c r="F92" s="33"/>
    </row>
    <row r="93" spans="1:6" ht="15.75" customHeight="1" x14ac:dyDescent="0.25">
      <c r="A93" s="8">
        <v>45898</v>
      </c>
      <c r="B93" s="4" t="s">
        <v>354</v>
      </c>
      <c r="C93" s="4" t="s">
        <v>355</v>
      </c>
      <c r="D93" s="8">
        <v>45898</v>
      </c>
      <c r="E93" s="34">
        <v>293.07</v>
      </c>
      <c r="F93" s="33"/>
    </row>
    <row r="94" spans="1:6" ht="15.75" customHeight="1" x14ac:dyDescent="0.25"/>
    <row r="95" spans="1:6" ht="15.75" customHeight="1" x14ac:dyDescent="0.25"/>
    <row r="96" spans="1:6" ht="15.75" customHeight="1" x14ac:dyDescent="0.25"/>
    <row r="97" spans="3:6" ht="15.75" customHeight="1" x14ac:dyDescent="0.25"/>
    <row r="98" spans="3:6" ht="15.75" customHeight="1" x14ac:dyDescent="0.25"/>
    <row r="99" spans="3:6" ht="15.75" customHeight="1" x14ac:dyDescent="0.25"/>
    <row r="100" spans="3:6" ht="15.75" customHeight="1" x14ac:dyDescent="0.25"/>
    <row r="101" spans="3:6" ht="15.75" customHeight="1" x14ac:dyDescent="0.25"/>
    <row r="102" spans="3:6" ht="15.75" customHeight="1" x14ac:dyDescent="0.25"/>
    <row r="103" spans="3:6" ht="15.75" customHeight="1" x14ac:dyDescent="0.25">
      <c r="C103" s="4"/>
      <c r="D103" s="54"/>
      <c r="E103" s="33"/>
      <c r="F103" s="34"/>
    </row>
    <row r="104" spans="3:6" ht="15.75" customHeight="1" x14ac:dyDescent="0.25">
      <c r="C104" s="4"/>
      <c r="D104" s="8"/>
      <c r="E104" s="33"/>
      <c r="F104" s="34"/>
    </row>
    <row r="105" spans="3:6" ht="15.75" customHeight="1" x14ac:dyDescent="0.25">
      <c r="C105" s="4"/>
      <c r="D105" s="54"/>
      <c r="E105" s="85"/>
      <c r="F105" s="85"/>
    </row>
    <row r="106" spans="3:6" ht="15.75" customHeight="1" x14ac:dyDescent="0.25">
      <c r="C106" s="4"/>
      <c r="E106" s="33"/>
      <c r="F106" s="34"/>
    </row>
    <row r="107" spans="3:6" ht="15.75" customHeight="1" x14ac:dyDescent="0.25">
      <c r="C107" s="4"/>
      <c r="D107" s="8"/>
      <c r="E107" s="33"/>
      <c r="F107" s="34"/>
    </row>
    <row r="108" spans="3:6" ht="15.75" customHeight="1" x14ac:dyDescent="0.25">
      <c r="C108" s="4"/>
      <c r="D108" s="8"/>
      <c r="E108" s="34"/>
      <c r="F108" s="34"/>
    </row>
    <row r="109" spans="3:6" ht="15.75" customHeight="1" x14ac:dyDescent="0.25">
      <c r="C109" s="4"/>
      <c r="E109" s="33"/>
      <c r="F109" s="34"/>
    </row>
    <row r="110" spans="3:6" ht="15.75" customHeight="1" x14ac:dyDescent="0.25">
      <c r="C110" s="4"/>
      <c r="E110" s="33"/>
      <c r="F110" s="34"/>
    </row>
    <row r="111" spans="3:6" ht="15.75" customHeight="1" x14ac:dyDescent="0.25">
      <c r="C111" s="4"/>
      <c r="E111" s="33"/>
      <c r="F111" s="34"/>
    </row>
    <row r="112" spans="3:6" ht="15.75" customHeight="1" x14ac:dyDescent="0.25">
      <c r="C112" s="4"/>
      <c r="D112" s="8"/>
      <c r="E112" s="33"/>
      <c r="F112" s="34"/>
    </row>
    <row r="113" spans="3:8" ht="15.75" customHeight="1" x14ac:dyDescent="0.25">
      <c r="C113" s="4"/>
      <c r="E113" s="33"/>
      <c r="F113" s="34"/>
    </row>
    <row r="114" spans="3:8" ht="15.75" customHeight="1" x14ac:dyDescent="0.25">
      <c r="C114" s="4"/>
      <c r="E114" s="33"/>
      <c r="F114" s="34"/>
    </row>
    <row r="115" spans="3:8" ht="15.75" customHeight="1" x14ac:dyDescent="0.25">
      <c r="C115" s="4" t="s">
        <v>322</v>
      </c>
      <c r="E115" s="34"/>
      <c r="F115" s="34">
        <v>208.75</v>
      </c>
    </row>
    <row r="116" spans="3:8" ht="15.75" customHeight="1" x14ac:dyDescent="0.25">
      <c r="C116" s="4" t="s">
        <v>323</v>
      </c>
      <c r="E116" s="33"/>
      <c r="F116" s="34">
        <v>5.05</v>
      </c>
    </row>
    <row r="117" spans="3:8" ht="15.75" customHeight="1" x14ac:dyDescent="0.25">
      <c r="C117" s="4" t="s">
        <v>324</v>
      </c>
      <c r="D117" s="8">
        <v>45833</v>
      </c>
      <c r="E117" s="27"/>
      <c r="F117" s="34">
        <v>97</v>
      </c>
    </row>
    <row r="118" spans="3:8" ht="15.75" customHeight="1" x14ac:dyDescent="0.25"/>
    <row r="119" spans="3:8" ht="15.75" customHeight="1" x14ac:dyDescent="0.25"/>
    <row r="120" spans="3:8" ht="15.75" customHeight="1" x14ac:dyDescent="0.25"/>
    <row r="121" spans="3:8" ht="15.75" customHeight="1" x14ac:dyDescent="0.25"/>
    <row r="122" spans="3:8" ht="15.75" customHeight="1" x14ac:dyDescent="0.25">
      <c r="E122" s="133">
        <f t="shared" ref="E122:F122" si="0">SUM(E7:E121)</f>
        <v>31747.590000000004</v>
      </c>
      <c r="F122" s="133">
        <f t="shared" si="0"/>
        <v>5310.8</v>
      </c>
      <c r="G122" s="33">
        <f>SUM(E122:F122)</f>
        <v>37058.390000000007</v>
      </c>
    </row>
    <row r="123" spans="3:8" ht="15.75" customHeight="1" x14ac:dyDescent="0.25">
      <c r="H123" s="95">
        <f>SUM(H2:H122)</f>
        <v>8764.84</v>
      </c>
    </row>
    <row r="124" spans="3:8" ht="15.75" customHeight="1" x14ac:dyDescent="0.25"/>
    <row r="125" spans="3:8" ht="15.75" customHeight="1" x14ac:dyDescent="0.25"/>
    <row r="126" spans="3:8" ht="15.75" customHeight="1" x14ac:dyDescent="0.25"/>
    <row r="127" spans="3:8" ht="15.75" customHeight="1" x14ac:dyDescent="0.25"/>
    <row r="128" spans="3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5"/>
  <sheetViews>
    <sheetView workbookViewId="0"/>
  </sheetViews>
  <sheetFormatPr defaultColWidth="12.5703125" defaultRowHeight="15" customHeight="1" x14ac:dyDescent="0.25"/>
  <cols>
    <col min="1" max="1" width="16" customWidth="1"/>
    <col min="2" max="2" width="19" customWidth="1"/>
    <col min="3" max="3" width="30.28515625" customWidth="1"/>
    <col min="4" max="4" width="16" customWidth="1"/>
    <col min="5" max="5" width="17.5703125" customWidth="1"/>
    <col min="6" max="6" width="14.7109375" customWidth="1"/>
    <col min="7" max="7" width="15.42578125" customWidth="1"/>
    <col min="8" max="8" width="19.42578125" customWidth="1"/>
    <col min="9" max="9" width="20.8554687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>
        <v>45901</v>
      </c>
      <c r="B2" s="22">
        <v>1</v>
      </c>
      <c r="C2" s="23" t="s">
        <v>77</v>
      </c>
      <c r="D2" s="131">
        <v>45905</v>
      </c>
      <c r="E2" s="84"/>
      <c r="F2" s="14"/>
      <c r="G2" s="4"/>
      <c r="H2" s="38">
        <v>23622.73</v>
      </c>
    </row>
    <row r="3" spans="1:9" x14ac:dyDescent="0.25">
      <c r="A3" s="17">
        <v>45901</v>
      </c>
      <c r="B3" s="32">
        <v>2</v>
      </c>
      <c r="C3" s="32" t="s">
        <v>259</v>
      </c>
      <c r="D3" s="131">
        <v>45905</v>
      </c>
      <c r="E3" s="38"/>
      <c r="F3" s="38"/>
      <c r="G3" s="82"/>
      <c r="H3" s="38">
        <v>4205.49</v>
      </c>
    </row>
    <row r="4" spans="1:9" x14ac:dyDescent="0.25">
      <c r="A4" s="8">
        <v>45855</v>
      </c>
      <c r="B4" s="4">
        <v>29187</v>
      </c>
      <c r="C4" s="4" t="s">
        <v>37</v>
      </c>
      <c r="D4" s="8">
        <v>45905</v>
      </c>
      <c r="E4" s="34">
        <v>601.91999999999996</v>
      </c>
      <c r="F4" s="85"/>
      <c r="I4" s="78" t="s">
        <v>328</v>
      </c>
    </row>
    <row r="5" spans="1:9" x14ac:dyDescent="0.25">
      <c r="A5" s="8">
        <v>45862</v>
      </c>
      <c r="B5" s="4">
        <v>29516</v>
      </c>
      <c r="C5" s="4" t="s">
        <v>37</v>
      </c>
      <c r="D5" s="8">
        <v>45905</v>
      </c>
      <c r="E5" s="34">
        <v>951.9</v>
      </c>
      <c r="F5" s="56"/>
      <c r="I5" s="85" t="s">
        <v>329</v>
      </c>
    </row>
    <row r="6" spans="1:9" x14ac:dyDescent="0.25">
      <c r="A6" s="8">
        <v>45867</v>
      </c>
      <c r="B6" s="4">
        <v>29801</v>
      </c>
      <c r="C6" s="4" t="s">
        <v>37</v>
      </c>
      <c r="D6" s="8">
        <v>45905</v>
      </c>
      <c r="E6" s="34">
        <v>84.55</v>
      </c>
      <c r="F6" s="56"/>
      <c r="I6" s="78" t="s">
        <v>331</v>
      </c>
    </row>
    <row r="7" spans="1:9" x14ac:dyDescent="0.25">
      <c r="A7" s="8">
        <v>45869</v>
      </c>
      <c r="B7" s="4">
        <v>29939</v>
      </c>
      <c r="C7" s="4" t="s">
        <v>37</v>
      </c>
      <c r="D7" s="8">
        <v>45905</v>
      </c>
      <c r="E7" s="34">
        <v>42.75</v>
      </c>
      <c r="F7" s="56"/>
      <c r="I7" s="78" t="s">
        <v>332</v>
      </c>
    </row>
    <row r="8" spans="1:9" x14ac:dyDescent="0.25">
      <c r="A8" s="8">
        <v>45870</v>
      </c>
      <c r="B8" s="4">
        <v>390036</v>
      </c>
      <c r="C8" s="4" t="s">
        <v>97</v>
      </c>
      <c r="D8" s="8">
        <v>45916</v>
      </c>
      <c r="E8" s="34">
        <v>51.8</v>
      </c>
      <c r="F8" s="56"/>
      <c r="I8" s="40"/>
    </row>
    <row r="9" spans="1:9" x14ac:dyDescent="0.25">
      <c r="A9" s="8">
        <v>45869</v>
      </c>
      <c r="B9" s="4">
        <v>14254</v>
      </c>
      <c r="C9" s="4" t="s">
        <v>335</v>
      </c>
      <c r="D9" s="8">
        <v>45901</v>
      </c>
      <c r="E9" s="85">
        <v>225</v>
      </c>
      <c r="F9" s="70"/>
      <c r="I9" s="40"/>
    </row>
    <row r="10" spans="1:9" x14ac:dyDescent="0.25">
      <c r="A10" s="8" t="s">
        <v>336</v>
      </c>
      <c r="B10" s="41">
        <v>45658</v>
      </c>
      <c r="C10" s="4" t="s">
        <v>337</v>
      </c>
      <c r="D10" s="8">
        <v>45902</v>
      </c>
      <c r="E10" s="34">
        <v>50</v>
      </c>
      <c r="F10" s="130"/>
      <c r="I10" s="40"/>
    </row>
    <row r="11" spans="1:9" x14ac:dyDescent="0.25">
      <c r="A11" s="8">
        <v>45902</v>
      </c>
      <c r="B11" s="4">
        <v>301924</v>
      </c>
      <c r="C11" s="4" t="s">
        <v>338</v>
      </c>
      <c r="D11" s="8">
        <v>45902</v>
      </c>
      <c r="E11" s="34">
        <v>168.95</v>
      </c>
      <c r="F11" s="34"/>
    </row>
    <row r="12" spans="1:9" x14ac:dyDescent="0.25">
      <c r="A12" s="8">
        <v>45902</v>
      </c>
      <c r="B12" s="4">
        <v>301931</v>
      </c>
      <c r="C12" s="4" t="s">
        <v>338</v>
      </c>
      <c r="D12" s="8">
        <v>45902</v>
      </c>
      <c r="E12" s="85">
        <v>29.45</v>
      </c>
      <c r="F12" s="136"/>
    </row>
    <row r="13" spans="1:9" x14ac:dyDescent="0.25">
      <c r="A13" s="8">
        <v>45903</v>
      </c>
      <c r="B13" s="4">
        <v>116567</v>
      </c>
      <c r="C13" s="4" t="s">
        <v>340</v>
      </c>
      <c r="D13" s="8">
        <v>45903</v>
      </c>
      <c r="E13" s="34">
        <v>91.74</v>
      </c>
      <c r="F13" s="34"/>
    </row>
    <row r="14" spans="1:9" x14ac:dyDescent="0.25">
      <c r="A14" s="8">
        <v>45873</v>
      </c>
      <c r="B14" s="4">
        <v>2647</v>
      </c>
      <c r="C14" s="4" t="s">
        <v>67</v>
      </c>
      <c r="D14" s="8">
        <v>45905</v>
      </c>
      <c r="E14" s="34">
        <v>107.6</v>
      </c>
      <c r="F14" s="70"/>
    </row>
    <row r="15" spans="1:9" x14ac:dyDescent="0.25">
      <c r="A15" s="8">
        <v>45873</v>
      </c>
      <c r="B15" s="4">
        <v>20851</v>
      </c>
      <c r="C15" s="51" t="s">
        <v>89</v>
      </c>
      <c r="D15" s="8">
        <v>45905</v>
      </c>
      <c r="E15" s="85">
        <v>330.94</v>
      </c>
      <c r="F15" s="70"/>
    </row>
    <row r="16" spans="1:9" x14ac:dyDescent="0.25">
      <c r="A16" s="8">
        <v>45873</v>
      </c>
      <c r="B16" s="78">
        <v>64705</v>
      </c>
      <c r="C16" s="78" t="s">
        <v>197</v>
      </c>
      <c r="D16" s="54">
        <v>45902</v>
      </c>
      <c r="E16" s="85">
        <v>48.42</v>
      </c>
      <c r="F16" s="70"/>
    </row>
    <row r="17" spans="1:9" x14ac:dyDescent="0.25">
      <c r="A17" s="8">
        <v>45873</v>
      </c>
      <c r="B17" s="4">
        <v>24272</v>
      </c>
      <c r="C17" s="4" t="s">
        <v>193</v>
      </c>
      <c r="D17" s="8">
        <v>45905</v>
      </c>
      <c r="E17" s="34">
        <v>474.9</v>
      </c>
      <c r="F17" s="70"/>
    </row>
    <row r="18" spans="1:9" x14ac:dyDescent="0.25">
      <c r="A18" s="8">
        <v>45874</v>
      </c>
      <c r="B18" s="4">
        <v>30181</v>
      </c>
      <c r="C18" s="4" t="s">
        <v>37</v>
      </c>
      <c r="D18" s="8">
        <v>45905</v>
      </c>
      <c r="E18" s="34">
        <v>501.6</v>
      </c>
      <c r="F18" s="34"/>
      <c r="H18" s="4"/>
      <c r="I18" s="4" t="s">
        <v>346</v>
      </c>
    </row>
    <row r="19" spans="1:9" x14ac:dyDescent="0.25">
      <c r="A19" s="54">
        <v>45875</v>
      </c>
      <c r="B19" s="78">
        <v>30267</v>
      </c>
      <c r="C19" s="78" t="s">
        <v>37</v>
      </c>
      <c r="D19" s="54">
        <v>45905</v>
      </c>
      <c r="E19" s="85">
        <v>67.260000000000005</v>
      </c>
      <c r="F19" s="85"/>
      <c r="I19" s="4" t="s">
        <v>348</v>
      </c>
    </row>
    <row r="20" spans="1:9" x14ac:dyDescent="0.25">
      <c r="A20" s="8">
        <v>45901</v>
      </c>
      <c r="B20" s="81">
        <v>45870</v>
      </c>
      <c r="C20" s="4" t="s">
        <v>350</v>
      </c>
      <c r="D20" s="54">
        <v>45919</v>
      </c>
      <c r="E20" s="34">
        <v>5000</v>
      </c>
      <c r="F20" s="70"/>
    </row>
    <row r="21" spans="1:9" x14ac:dyDescent="0.25">
      <c r="A21" s="8">
        <v>45905</v>
      </c>
      <c r="B21" s="81">
        <v>45870</v>
      </c>
      <c r="C21" s="4" t="s">
        <v>175</v>
      </c>
      <c r="D21" s="54">
        <v>45905</v>
      </c>
      <c r="E21" s="85">
        <v>1558</v>
      </c>
      <c r="F21" s="85" t="s">
        <v>236</v>
      </c>
      <c r="I21" s="4" t="s">
        <v>352</v>
      </c>
    </row>
    <row r="22" spans="1:9" x14ac:dyDescent="0.25">
      <c r="A22" s="8">
        <v>45905</v>
      </c>
      <c r="B22" s="81">
        <v>45870</v>
      </c>
      <c r="C22" s="4" t="s">
        <v>241</v>
      </c>
      <c r="D22" s="54">
        <v>45905</v>
      </c>
      <c r="E22" s="85">
        <v>2120</v>
      </c>
      <c r="F22" s="85" t="s">
        <v>236</v>
      </c>
    </row>
    <row r="23" spans="1:9" x14ac:dyDescent="0.25">
      <c r="A23" s="8">
        <v>45905</v>
      </c>
      <c r="B23" s="81">
        <v>45870</v>
      </c>
      <c r="C23" s="4" t="s">
        <v>244</v>
      </c>
      <c r="D23" s="54">
        <v>45905</v>
      </c>
      <c r="E23" s="85">
        <v>1908</v>
      </c>
      <c r="F23" s="85"/>
    </row>
    <row r="24" spans="1:9" x14ac:dyDescent="0.25">
      <c r="A24" s="8">
        <v>45905</v>
      </c>
      <c r="B24" s="81">
        <v>45870</v>
      </c>
      <c r="C24" s="4" t="s">
        <v>243</v>
      </c>
      <c r="D24" s="54">
        <v>45905</v>
      </c>
      <c r="E24" s="85">
        <v>2000</v>
      </c>
      <c r="F24" s="85"/>
    </row>
    <row r="25" spans="1:9" x14ac:dyDescent="0.25">
      <c r="A25" s="8">
        <v>45905</v>
      </c>
      <c r="B25" s="81">
        <v>45658</v>
      </c>
      <c r="C25" s="4" t="s">
        <v>246</v>
      </c>
      <c r="D25" s="54">
        <v>45905</v>
      </c>
      <c r="E25" s="85">
        <v>220</v>
      </c>
      <c r="F25" s="85"/>
    </row>
    <row r="26" spans="1:9" x14ac:dyDescent="0.25">
      <c r="A26" s="8">
        <v>45901</v>
      </c>
      <c r="B26" s="81">
        <v>45901</v>
      </c>
      <c r="C26" s="4" t="s">
        <v>245</v>
      </c>
      <c r="D26" s="54">
        <v>45905</v>
      </c>
      <c r="E26" s="85">
        <v>800</v>
      </c>
      <c r="F26" s="85"/>
    </row>
    <row r="27" spans="1:9" x14ac:dyDescent="0.25">
      <c r="A27" s="8">
        <v>45901</v>
      </c>
      <c r="B27" s="81">
        <v>45870</v>
      </c>
      <c r="C27" s="4" t="s">
        <v>113</v>
      </c>
      <c r="D27" s="8">
        <v>45905</v>
      </c>
      <c r="E27" s="34">
        <v>1419</v>
      </c>
      <c r="F27" s="34"/>
    </row>
    <row r="28" spans="1:9" x14ac:dyDescent="0.25">
      <c r="A28" s="8">
        <v>45901</v>
      </c>
      <c r="B28" s="81">
        <v>45870</v>
      </c>
      <c r="C28" s="4" t="s">
        <v>250</v>
      </c>
      <c r="D28" s="8">
        <v>45910</v>
      </c>
      <c r="E28" s="34">
        <v>362</v>
      </c>
      <c r="F28" s="70"/>
    </row>
    <row r="29" spans="1:9" x14ac:dyDescent="0.25">
      <c r="A29" s="8">
        <v>45901</v>
      </c>
      <c r="B29" s="81">
        <v>45870</v>
      </c>
      <c r="C29" s="4" t="s">
        <v>41</v>
      </c>
      <c r="D29" s="8">
        <v>45905</v>
      </c>
      <c r="E29" s="34">
        <v>316.7</v>
      </c>
      <c r="F29" s="34"/>
    </row>
    <row r="30" spans="1:9" x14ac:dyDescent="0.25">
      <c r="A30" s="8">
        <v>45901</v>
      </c>
      <c r="B30" s="81">
        <v>45870</v>
      </c>
      <c r="C30" s="4" t="s">
        <v>357</v>
      </c>
      <c r="D30" s="8">
        <v>45905</v>
      </c>
      <c r="E30" s="34">
        <v>247.84</v>
      </c>
      <c r="F30" s="34"/>
    </row>
    <row r="31" spans="1:9" x14ac:dyDescent="0.25">
      <c r="A31" s="8">
        <v>45901</v>
      </c>
      <c r="B31" s="81">
        <v>45870</v>
      </c>
      <c r="C31" s="4" t="s">
        <v>104</v>
      </c>
      <c r="D31" s="8">
        <v>45905</v>
      </c>
      <c r="E31" s="34">
        <v>530</v>
      </c>
      <c r="F31" s="34"/>
    </row>
    <row r="32" spans="1:9" x14ac:dyDescent="0.25">
      <c r="A32" s="8">
        <v>45875</v>
      </c>
      <c r="B32" s="4">
        <v>2691</v>
      </c>
      <c r="C32" s="4" t="s">
        <v>67</v>
      </c>
      <c r="D32" s="8">
        <v>45905</v>
      </c>
      <c r="E32" s="34">
        <v>306.89999999999998</v>
      </c>
      <c r="F32" s="34"/>
    </row>
    <row r="33" spans="1:9" x14ac:dyDescent="0.25">
      <c r="A33" s="54">
        <v>45875</v>
      </c>
      <c r="B33" s="78">
        <v>38608</v>
      </c>
      <c r="C33" s="78" t="s">
        <v>116</v>
      </c>
      <c r="D33" s="54">
        <v>45911</v>
      </c>
      <c r="E33" s="85">
        <v>510</v>
      </c>
      <c r="F33" s="70"/>
    </row>
    <row r="34" spans="1:9" x14ac:dyDescent="0.25">
      <c r="A34" s="8">
        <v>45863</v>
      </c>
      <c r="B34" s="4">
        <v>1930</v>
      </c>
      <c r="C34" s="4" t="s">
        <v>358</v>
      </c>
      <c r="D34" s="8">
        <v>45911</v>
      </c>
      <c r="E34" s="85">
        <v>323</v>
      </c>
      <c r="F34" s="70"/>
    </row>
    <row r="35" spans="1:9" x14ac:dyDescent="0.25">
      <c r="A35" s="8">
        <v>45876</v>
      </c>
      <c r="B35" s="4">
        <v>20804</v>
      </c>
      <c r="C35" s="4" t="s">
        <v>283</v>
      </c>
      <c r="D35" s="8">
        <v>45911</v>
      </c>
      <c r="E35" s="34">
        <v>363.2</v>
      </c>
      <c r="F35" s="70"/>
    </row>
    <row r="36" spans="1:9" x14ac:dyDescent="0.25">
      <c r="A36" s="8">
        <v>45876</v>
      </c>
      <c r="B36" s="4">
        <v>5937</v>
      </c>
      <c r="C36" s="4" t="s">
        <v>85</v>
      </c>
      <c r="D36" s="8">
        <v>45911</v>
      </c>
      <c r="E36" s="34">
        <v>72</v>
      </c>
      <c r="F36" s="70"/>
    </row>
    <row r="37" spans="1:9" x14ac:dyDescent="0.25">
      <c r="A37" s="8">
        <v>45877</v>
      </c>
      <c r="B37" s="4">
        <v>30487</v>
      </c>
      <c r="C37" s="4" t="s">
        <v>37</v>
      </c>
      <c r="D37" s="8">
        <v>45911</v>
      </c>
      <c r="E37" s="34">
        <v>1243.55</v>
      </c>
      <c r="F37" s="70"/>
      <c r="I37" s="4" t="s">
        <v>359</v>
      </c>
    </row>
    <row r="38" spans="1:9" x14ac:dyDescent="0.25">
      <c r="A38" s="8">
        <v>45877</v>
      </c>
      <c r="B38" s="4">
        <v>2726</v>
      </c>
      <c r="C38" s="4" t="s">
        <v>67</v>
      </c>
      <c r="D38" s="8">
        <v>45911</v>
      </c>
      <c r="E38" s="34">
        <v>199</v>
      </c>
      <c r="F38" s="70"/>
    </row>
    <row r="39" spans="1:9" x14ac:dyDescent="0.25">
      <c r="A39" s="8">
        <v>45908</v>
      </c>
      <c r="B39" s="81">
        <v>45870</v>
      </c>
      <c r="C39" s="4" t="s">
        <v>81</v>
      </c>
      <c r="D39" s="8">
        <v>45905</v>
      </c>
      <c r="E39" s="34">
        <v>971.01</v>
      </c>
      <c r="F39" s="34"/>
    </row>
    <row r="40" spans="1:9" x14ac:dyDescent="0.25">
      <c r="A40" s="8">
        <v>45877</v>
      </c>
      <c r="B40" s="4">
        <v>24351</v>
      </c>
      <c r="C40" s="4" t="s">
        <v>193</v>
      </c>
      <c r="D40" s="8">
        <v>45911</v>
      </c>
      <c r="E40" s="34">
        <v>264.60000000000002</v>
      </c>
      <c r="F40" s="34"/>
    </row>
    <row r="41" spans="1:9" x14ac:dyDescent="0.25">
      <c r="A41" s="8">
        <v>45877</v>
      </c>
      <c r="B41" s="4">
        <v>1987</v>
      </c>
      <c r="C41" s="4" t="s">
        <v>360</v>
      </c>
      <c r="D41" s="8">
        <v>45911</v>
      </c>
      <c r="E41" s="34">
        <v>1266</v>
      </c>
      <c r="F41" s="34"/>
    </row>
    <row r="42" spans="1:9" x14ac:dyDescent="0.25">
      <c r="A42" s="8">
        <v>45877</v>
      </c>
      <c r="B42" s="4">
        <v>38643</v>
      </c>
      <c r="C42" s="4" t="s">
        <v>116</v>
      </c>
      <c r="D42" s="8">
        <v>45911</v>
      </c>
      <c r="E42" s="34">
        <v>34</v>
      </c>
      <c r="F42" s="34"/>
    </row>
    <row r="43" spans="1:9" x14ac:dyDescent="0.25">
      <c r="A43" s="8">
        <v>45884</v>
      </c>
      <c r="B43" s="4">
        <v>15355</v>
      </c>
      <c r="C43" s="51" t="s">
        <v>315</v>
      </c>
      <c r="D43" s="8">
        <v>45910</v>
      </c>
      <c r="E43" s="34">
        <v>149.97999999999999</v>
      </c>
      <c r="F43" s="34"/>
      <c r="H43" s="4"/>
      <c r="I43" s="4" t="s">
        <v>361</v>
      </c>
    </row>
    <row r="44" spans="1:9" x14ac:dyDescent="0.25">
      <c r="A44" s="54" t="s">
        <v>362</v>
      </c>
      <c r="B44" s="139">
        <v>45901</v>
      </c>
      <c r="C44" s="4" t="s">
        <v>262</v>
      </c>
      <c r="D44" s="8">
        <v>45905</v>
      </c>
      <c r="E44" s="34">
        <v>550</v>
      </c>
      <c r="F44" s="34"/>
    </row>
    <row r="45" spans="1:9" x14ac:dyDescent="0.25">
      <c r="A45" s="8">
        <v>45902</v>
      </c>
      <c r="B45" s="140">
        <v>45870</v>
      </c>
      <c r="C45" s="51" t="s">
        <v>299</v>
      </c>
      <c r="D45" s="8">
        <v>45905</v>
      </c>
      <c r="E45" s="34">
        <v>185</v>
      </c>
      <c r="F45" s="34"/>
    </row>
    <row r="46" spans="1:9" x14ac:dyDescent="0.25">
      <c r="A46" s="8">
        <v>45902</v>
      </c>
      <c r="B46" s="140">
        <v>45870</v>
      </c>
      <c r="C46" s="51" t="s">
        <v>258</v>
      </c>
      <c r="D46" s="8">
        <v>45905</v>
      </c>
      <c r="E46" s="34">
        <v>110</v>
      </c>
      <c r="F46" s="34" t="s">
        <v>236</v>
      </c>
    </row>
    <row r="47" spans="1:9" x14ac:dyDescent="0.25">
      <c r="A47" s="141">
        <v>45873</v>
      </c>
      <c r="B47" s="142">
        <v>66282</v>
      </c>
      <c r="C47" s="142" t="s">
        <v>196</v>
      </c>
      <c r="D47" s="8">
        <v>45911</v>
      </c>
      <c r="E47" s="85">
        <v>24.04</v>
      </c>
      <c r="F47" s="107"/>
    </row>
    <row r="48" spans="1:9" x14ac:dyDescent="0.25">
      <c r="A48" s="141">
        <v>45874</v>
      </c>
      <c r="B48" s="142">
        <v>66309</v>
      </c>
      <c r="C48" s="142" t="s">
        <v>196</v>
      </c>
      <c r="D48" s="8">
        <v>45911</v>
      </c>
      <c r="E48" s="85">
        <v>35.630000000000003</v>
      </c>
      <c r="F48" s="107"/>
    </row>
    <row r="49" spans="1:9" x14ac:dyDescent="0.25">
      <c r="A49" s="141">
        <v>45888</v>
      </c>
      <c r="B49" s="142">
        <v>66428</v>
      </c>
      <c r="C49" s="143" t="s">
        <v>196</v>
      </c>
      <c r="D49" s="8">
        <v>45911</v>
      </c>
      <c r="E49" s="85">
        <v>3.3</v>
      </c>
      <c r="F49" s="107"/>
    </row>
    <row r="50" spans="1:9" x14ac:dyDescent="0.25">
      <c r="A50" s="141">
        <v>45894</v>
      </c>
      <c r="B50" s="142">
        <v>66476</v>
      </c>
      <c r="C50" s="143" t="s">
        <v>196</v>
      </c>
      <c r="D50" s="8">
        <v>45911</v>
      </c>
      <c r="E50" s="85">
        <v>2.04</v>
      </c>
      <c r="F50" s="107"/>
    </row>
    <row r="51" spans="1:9" x14ac:dyDescent="0.25">
      <c r="A51" s="141">
        <v>45897</v>
      </c>
      <c r="B51" s="142">
        <v>66513</v>
      </c>
      <c r="C51" s="143" t="s">
        <v>196</v>
      </c>
      <c r="D51" s="8">
        <v>45911</v>
      </c>
      <c r="E51" s="85">
        <v>25.65</v>
      </c>
      <c r="F51" s="107"/>
    </row>
    <row r="52" spans="1:9" x14ac:dyDescent="0.25">
      <c r="A52" s="8">
        <v>45883</v>
      </c>
      <c r="B52" s="4">
        <v>508</v>
      </c>
      <c r="C52" s="51" t="s">
        <v>363</v>
      </c>
      <c r="D52" s="8">
        <v>45911</v>
      </c>
      <c r="E52" s="34">
        <v>380</v>
      </c>
      <c r="F52" s="34"/>
    </row>
    <row r="53" spans="1:9" x14ac:dyDescent="0.25">
      <c r="A53" s="8">
        <v>45880</v>
      </c>
      <c r="B53" s="4">
        <v>21111</v>
      </c>
      <c r="C53" s="51" t="s">
        <v>89</v>
      </c>
      <c r="D53" s="8">
        <v>45911</v>
      </c>
      <c r="E53" s="34">
        <v>249</v>
      </c>
      <c r="F53" s="34"/>
      <c r="I53" s="40" t="s">
        <v>364</v>
      </c>
    </row>
    <row r="54" spans="1:9" x14ac:dyDescent="0.25">
      <c r="A54" s="8">
        <v>45880</v>
      </c>
      <c r="B54" s="4">
        <v>21112</v>
      </c>
      <c r="C54" s="51" t="s">
        <v>89</v>
      </c>
      <c r="D54" s="8">
        <v>45911</v>
      </c>
      <c r="E54" s="34">
        <v>151.56</v>
      </c>
      <c r="F54" s="34"/>
    </row>
    <row r="55" spans="1:9" x14ac:dyDescent="0.25">
      <c r="A55" s="8">
        <v>45881</v>
      </c>
      <c r="B55" s="4">
        <v>2769</v>
      </c>
      <c r="C55" s="51" t="s">
        <v>67</v>
      </c>
      <c r="D55" s="8">
        <v>45911</v>
      </c>
      <c r="E55" s="34">
        <v>131.4</v>
      </c>
      <c r="F55" s="34"/>
    </row>
    <row r="56" spans="1:9" x14ac:dyDescent="0.25">
      <c r="A56" s="8">
        <v>45881</v>
      </c>
      <c r="B56" s="4">
        <v>30615</v>
      </c>
      <c r="C56" s="51" t="s">
        <v>37</v>
      </c>
      <c r="D56" s="8">
        <v>45911</v>
      </c>
      <c r="E56" s="34">
        <v>68.400000000000006</v>
      </c>
      <c r="F56" s="34"/>
      <c r="I56" s="4" t="s">
        <v>365</v>
      </c>
    </row>
    <row r="57" spans="1:9" x14ac:dyDescent="0.25">
      <c r="A57" s="8">
        <v>45881</v>
      </c>
      <c r="B57" s="4">
        <v>5539</v>
      </c>
      <c r="C57" s="51" t="s">
        <v>148</v>
      </c>
      <c r="D57" s="8">
        <v>45911</v>
      </c>
      <c r="E57" s="34">
        <v>76.3</v>
      </c>
      <c r="F57" s="34"/>
    </row>
    <row r="58" spans="1:9" x14ac:dyDescent="0.25">
      <c r="A58" s="8">
        <v>45882</v>
      </c>
      <c r="B58" s="4">
        <v>30727</v>
      </c>
      <c r="C58" s="51" t="s">
        <v>37</v>
      </c>
      <c r="D58" s="8">
        <v>45911</v>
      </c>
      <c r="E58" s="34">
        <v>59.85</v>
      </c>
      <c r="F58" s="34"/>
      <c r="H58" s="4" t="s">
        <v>366</v>
      </c>
    </row>
    <row r="59" spans="1:9" x14ac:dyDescent="0.25">
      <c r="A59" s="8">
        <v>45881</v>
      </c>
      <c r="B59" s="4">
        <v>38670</v>
      </c>
      <c r="C59" s="51" t="s">
        <v>116</v>
      </c>
      <c r="D59" s="8">
        <v>45911</v>
      </c>
      <c r="E59" s="34">
        <v>68</v>
      </c>
      <c r="F59" s="34"/>
    </row>
    <row r="60" spans="1:9" x14ac:dyDescent="0.25">
      <c r="A60" s="8">
        <v>45881</v>
      </c>
      <c r="B60" s="4">
        <v>24411</v>
      </c>
      <c r="C60" s="51" t="s">
        <v>193</v>
      </c>
      <c r="D60" s="8">
        <v>45911</v>
      </c>
      <c r="E60" s="34">
        <v>140.4</v>
      </c>
      <c r="F60" s="34"/>
    </row>
    <row r="61" spans="1:9" x14ac:dyDescent="0.25">
      <c r="A61" s="8">
        <v>45911</v>
      </c>
      <c r="B61" s="4">
        <v>116798</v>
      </c>
      <c r="C61" s="51" t="s">
        <v>340</v>
      </c>
      <c r="D61" s="8">
        <v>45911</v>
      </c>
      <c r="E61" s="34">
        <v>290.11</v>
      </c>
      <c r="F61" s="70"/>
    </row>
    <row r="62" spans="1:9" x14ac:dyDescent="0.25">
      <c r="A62" s="8">
        <v>45911</v>
      </c>
      <c r="B62" s="4">
        <v>27315</v>
      </c>
      <c r="C62" s="51" t="s">
        <v>367</v>
      </c>
      <c r="D62" s="8">
        <v>45911</v>
      </c>
      <c r="E62" s="34">
        <v>306</v>
      </c>
      <c r="F62" s="70"/>
    </row>
    <row r="63" spans="1:9" x14ac:dyDescent="0.25">
      <c r="A63" s="8">
        <v>45882</v>
      </c>
      <c r="B63" s="4">
        <v>43258</v>
      </c>
      <c r="C63" s="51" t="s">
        <v>368</v>
      </c>
      <c r="D63" s="8">
        <v>45916</v>
      </c>
      <c r="E63" s="34">
        <v>630</v>
      </c>
      <c r="F63" s="70"/>
    </row>
    <row r="64" spans="1:9" x14ac:dyDescent="0.25">
      <c r="A64" s="8">
        <v>45882</v>
      </c>
      <c r="B64" s="4">
        <v>20858</v>
      </c>
      <c r="C64" s="51" t="s">
        <v>283</v>
      </c>
      <c r="D64" s="8">
        <v>45916</v>
      </c>
      <c r="E64" s="34">
        <v>258</v>
      </c>
      <c r="F64" s="70"/>
    </row>
    <row r="65" spans="1:9" x14ac:dyDescent="0.25">
      <c r="A65" s="8">
        <v>45883</v>
      </c>
      <c r="B65" s="4">
        <v>312</v>
      </c>
      <c r="C65" s="51" t="s">
        <v>369</v>
      </c>
      <c r="D65" s="8">
        <v>45916</v>
      </c>
      <c r="E65" s="34">
        <v>750</v>
      </c>
      <c r="F65" s="70"/>
    </row>
    <row r="66" spans="1:9" x14ac:dyDescent="0.25">
      <c r="A66" s="8">
        <v>45883</v>
      </c>
      <c r="B66" s="4">
        <v>2103</v>
      </c>
      <c r="C66" s="51" t="s">
        <v>358</v>
      </c>
      <c r="D66" s="8">
        <v>45916</v>
      </c>
      <c r="E66" s="34">
        <v>972</v>
      </c>
      <c r="F66" s="70"/>
    </row>
    <row r="67" spans="1:9" x14ac:dyDescent="0.25">
      <c r="A67" s="8">
        <v>45884</v>
      </c>
      <c r="B67" s="4">
        <v>270</v>
      </c>
      <c r="C67" s="51" t="s">
        <v>370</v>
      </c>
      <c r="D67" s="8">
        <v>45916</v>
      </c>
      <c r="E67" s="34">
        <v>225</v>
      </c>
      <c r="F67" s="70"/>
    </row>
    <row r="68" spans="1:9" x14ac:dyDescent="0.25">
      <c r="A68" s="8">
        <v>45901</v>
      </c>
      <c r="B68" s="81">
        <v>45901</v>
      </c>
      <c r="C68" s="144" t="s">
        <v>316</v>
      </c>
      <c r="D68" s="145">
        <v>45915</v>
      </c>
      <c r="E68" s="146">
        <v>99.9</v>
      </c>
      <c r="F68" s="147"/>
    </row>
    <row r="69" spans="1:9" x14ac:dyDescent="0.25">
      <c r="A69" s="8">
        <v>45915</v>
      </c>
      <c r="B69" s="4">
        <v>1669</v>
      </c>
      <c r="C69" s="51" t="s">
        <v>371</v>
      </c>
      <c r="D69" s="8">
        <v>45915</v>
      </c>
      <c r="E69" s="34">
        <v>1650</v>
      </c>
      <c r="F69" s="34"/>
    </row>
    <row r="70" spans="1:9" x14ac:dyDescent="0.25">
      <c r="A70" s="8">
        <v>45908</v>
      </c>
      <c r="B70" s="4">
        <v>18611</v>
      </c>
      <c r="C70" s="51" t="s">
        <v>372</v>
      </c>
      <c r="D70" s="8">
        <v>45916</v>
      </c>
      <c r="E70" s="34">
        <v>120</v>
      </c>
      <c r="F70" s="34"/>
    </row>
    <row r="71" spans="1:9" x14ac:dyDescent="0.25">
      <c r="A71" s="8">
        <v>45909</v>
      </c>
      <c r="B71" s="4">
        <v>3327</v>
      </c>
      <c r="C71" s="51" t="s">
        <v>373</v>
      </c>
      <c r="D71" s="8">
        <v>45916</v>
      </c>
      <c r="E71" s="34">
        <v>32.5</v>
      </c>
      <c r="F71" s="34"/>
    </row>
    <row r="72" spans="1:9" x14ac:dyDescent="0.25">
      <c r="A72" s="8">
        <v>45901</v>
      </c>
      <c r="B72" s="81">
        <v>45870</v>
      </c>
      <c r="C72" s="51" t="s">
        <v>163</v>
      </c>
      <c r="D72" s="8">
        <v>45916</v>
      </c>
      <c r="E72" s="34">
        <v>90.64</v>
      </c>
      <c r="F72" s="56"/>
      <c r="I72" s="4" t="s">
        <v>374</v>
      </c>
    </row>
    <row r="73" spans="1:9" x14ac:dyDescent="0.25">
      <c r="A73" s="8">
        <v>45916</v>
      </c>
      <c r="B73" s="4">
        <v>16207</v>
      </c>
      <c r="C73" s="51" t="s">
        <v>115</v>
      </c>
      <c r="D73" s="8">
        <v>45916</v>
      </c>
      <c r="E73" s="34">
        <v>187</v>
      </c>
      <c r="F73" s="34"/>
    </row>
    <row r="74" spans="1:9" x14ac:dyDescent="0.25">
      <c r="A74" s="54">
        <v>45901</v>
      </c>
      <c r="B74" s="81">
        <v>45870</v>
      </c>
      <c r="C74" s="78" t="s">
        <v>275</v>
      </c>
      <c r="D74" s="54">
        <v>45919</v>
      </c>
      <c r="E74" s="85">
        <v>310.64</v>
      </c>
      <c r="F74" s="70"/>
    </row>
    <row r="75" spans="1:9" x14ac:dyDescent="0.25">
      <c r="A75" s="54">
        <v>45901</v>
      </c>
      <c r="B75" s="88">
        <v>45658</v>
      </c>
      <c r="C75" s="78" t="s">
        <v>178</v>
      </c>
      <c r="D75" s="54">
        <v>45919</v>
      </c>
      <c r="E75" s="85">
        <v>720</v>
      </c>
      <c r="F75" s="70"/>
    </row>
    <row r="76" spans="1:9" x14ac:dyDescent="0.25">
      <c r="A76" s="8">
        <v>45890</v>
      </c>
      <c r="B76" s="4">
        <v>31240</v>
      </c>
      <c r="C76" s="51" t="s">
        <v>37</v>
      </c>
      <c r="D76" s="8" t="s">
        <v>375</v>
      </c>
      <c r="E76" s="34">
        <v>84.55</v>
      </c>
      <c r="F76" s="70"/>
      <c r="H76" s="4" t="s">
        <v>376</v>
      </c>
    </row>
    <row r="77" spans="1:9" x14ac:dyDescent="0.25">
      <c r="A77" s="8">
        <v>45891</v>
      </c>
      <c r="B77" s="4">
        <v>392148</v>
      </c>
      <c r="C77" s="51" t="s">
        <v>97</v>
      </c>
      <c r="D77" s="8">
        <v>45916</v>
      </c>
      <c r="E77" s="34">
        <v>81.95</v>
      </c>
      <c r="F77" s="70"/>
    </row>
    <row r="78" spans="1:9" x14ac:dyDescent="0.25">
      <c r="A78" s="8">
        <v>45890</v>
      </c>
      <c r="B78" s="4">
        <v>21441</v>
      </c>
      <c r="C78" s="51" t="s">
        <v>89</v>
      </c>
      <c r="D78" s="8">
        <v>45926</v>
      </c>
      <c r="E78" s="34">
        <v>239</v>
      </c>
      <c r="F78" s="70"/>
      <c r="H78" s="4" t="s">
        <v>377</v>
      </c>
    </row>
    <row r="79" spans="1:9" x14ac:dyDescent="0.25">
      <c r="A79" s="8">
        <v>45877</v>
      </c>
      <c r="B79" s="4">
        <v>38645</v>
      </c>
      <c r="C79" s="51" t="s">
        <v>116</v>
      </c>
      <c r="D79" s="8" t="s">
        <v>375</v>
      </c>
      <c r="E79" s="34">
        <v>330</v>
      </c>
      <c r="F79" s="70"/>
    </row>
    <row r="80" spans="1:9" x14ac:dyDescent="0.25">
      <c r="A80" s="8">
        <v>45891</v>
      </c>
      <c r="B80" s="4">
        <v>38762</v>
      </c>
      <c r="C80" s="51" t="s">
        <v>116</v>
      </c>
      <c r="D80" s="8" t="s">
        <v>375</v>
      </c>
      <c r="E80" s="34">
        <v>102</v>
      </c>
      <c r="F80" s="70"/>
    </row>
    <row r="81" spans="1:8" x14ac:dyDescent="0.25">
      <c r="A81" s="8">
        <v>45901</v>
      </c>
      <c r="B81" s="81">
        <v>45870</v>
      </c>
      <c r="C81" s="51" t="s">
        <v>151</v>
      </c>
      <c r="D81" s="8">
        <v>45919</v>
      </c>
      <c r="E81" s="34">
        <v>76.900000000000006</v>
      </c>
      <c r="F81" s="34" t="s">
        <v>236</v>
      </c>
    </row>
    <row r="82" spans="1:8" x14ac:dyDescent="0.25">
      <c r="A82" s="8">
        <v>45901</v>
      </c>
      <c r="B82" s="148">
        <v>45870</v>
      </c>
      <c r="C82" s="78" t="s">
        <v>184</v>
      </c>
      <c r="D82" s="54">
        <v>45919</v>
      </c>
      <c r="E82" s="85">
        <v>1802.64</v>
      </c>
      <c r="F82" s="85"/>
    </row>
    <row r="83" spans="1:8" x14ac:dyDescent="0.25">
      <c r="A83" s="8" t="s">
        <v>378</v>
      </c>
      <c r="B83" s="149">
        <v>45658</v>
      </c>
      <c r="C83" s="78" t="s">
        <v>379</v>
      </c>
      <c r="D83" s="54">
        <v>45923</v>
      </c>
      <c r="E83" s="85">
        <v>70</v>
      </c>
      <c r="F83" s="85"/>
    </row>
    <row r="84" spans="1:8" x14ac:dyDescent="0.25">
      <c r="A84" s="8">
        <v>45901</v>
      </c>
      <c r="B84" s="148">
        <v>45901</v>
      </c>
      <c r="C84" s="4" t="s">
        <v>181</v>
      </c>
      <c r="D84" s="8">
        <v>45925</v>
      </c>
      <c r="E84" s="34">
        <v>480</v>
      </c>
      <c r="F84" s="34"/>
    </row>
    <row r="85" spans="1:8" x14ac:dyDescent="0.25">
      <c r="A85" s="8">
        <v>45902</v>
      </c>
      <c r="B85" s="112" t="s">
        <v>380</v>
      </c>
      <c r="C85" s="78" t="s">
        <v>363</v>
      </c>
      <c r="D85" s="54">
        <v>45926</v>
      </c>
      <c r="E85" s="85">
        <v>284</v>
      </c>
      <c r="F85" s="70"/>
    </row>
    <row r="86" spans="1:8" x14ac:dyDescent="0.25">
      <c r="A86" s="8">
        <v>45895</v>
      </c>
      <c r="B86" s="78">
        <v>31557</v>
      </c>
      <c r="C86" s="78" t="s">
        <v>37</v>
      </c>
      <c r="D86" s="54">
        <v>45926</v>
      </c>
      <c r="E86" s="85">
        <v>76.95</v>
      </c>
      <c r="F86" s="70"/>
      <c r="H86" s="4" t="s">
        <v>381</v>
      </c>
    </row>
    <row r="87" spans="1:8" x14ac:dyDescent="0.25">
      <c r="A87" s="8">
        <v>45897</v>
      </c>
      <c r="B87" s="78">
        <v>208401</v>
      </c>
      <c r="C87" s="78" t="s">
        <v>382</v>
      </c>
      <c r="D87" s="54">
        <v>45926</v>
      </c>
      <c r="E87" s="85">
        <v>50</v>
      </c>
      <c r="F87" s="85"/>
    </row>
    <row r="88" spans="1:8" x14ac:dyDescent="0.25">
      <c r="A88" s="8">
        <v>45896</v>
      </c>
      <c r="B88" s="4">
        <v>43647</v>
      </c>
      <c r="C88" s="51" t="s">
        <v>368</v>
      </c>
      <c r="D88" s="8">
        <v>45926</v>
      </c>
      <c r="E88" s="34">
        <v>630</v>
      </c>
      <c r="F88" s="34"/>
    </row>
    <row r="89" spans="1:8" x14ac:dyDescent="0.25">
      <c r="A89" s="8">
        <v>45897</v>
      </c>
      <c r="B89" s="78">
        <v>21673</v>
      </c>
      <c r="C89" s="78" t="s">
        <v>89</v>
      </c>
      <c r="D89" s="54">
        <v>45926</v>
      </c>
      <c r="E89" s="85">
        <v>199.2</v>
      </c>
      <c r="F89" s="85"/>
    </row>
    <row r="90" spans="1:8" x14ac:dyDescent="0.25">
      <c r="A90" s="8">
        <v>45898</v>
      </c>
      <c r="B90" s="78">
        <v>43470</v>
      </c>
      <c r="C90" s="78" t="s">
        <v>174</v>
      </c>
      <c r="D90" s="54">
        <v>45925</v>
      </c>
      <c r="E90" s="85">
        <v>75</v>
      </c>
      <c r="F90" s="85"/>
    </row>
    <row r="91" spans="1:8" x14ac:dyDescent="0.25">
      <c r="A91" s="8">
        <v>45898</v>
      </c>
      <c r="B91" s="78">
        <v>21002</v>
      </c>
      <c r="C91" s="78" t="s">
        <v>283</v>
      </c>
      <c r="D91" s="54" t="s">
        <v>375</v>
      </c>
      <c r="E91" s="85">
        <v>398</v>
      </c>
      <c r="F91" s="85"/>
    </row>
    <row r="92" spans="1:8" x14ac:dyDescent="0.25">
      <c r="A92" s="8">
        <v>45901</v>
      </c>
      <c r="B92" s="88">
        <v>45750</v>
      </c>
      <c r="C92" s="78" t="s">
        <v>230</v>
      </c>
      <c r="D92" s="54" t="s">
        <v>375</v>
      </c>
      <c r="E92" s="85">
        <v>196.47</v>
      </c>
      <c r="F92" s="85"/>
    </row>
    <row r="93" spans="1:8" x14ac:dyDescent="0.25">
      <c r="C93" s="4" t="s">
        <v>322</v>
      </c>
      <c r="D93" s="8">
        <v>45919</v>
      </c>
      <c r="E93" s="34">
        <v>208.75</v>
      </c>
      <c r="F93" s="34"/>
    </row>
    <row r="94" spans="1:8" x14ac:dyDescent="0.25">
      <c r="C94" s="4" t="s">
        <v>323</v>
      </c>
      <c r="D94" s="8">
        <v>45919</v>
      </c>
      <c r="E94" s="34">
        <v>5.05</v>
      </c>
      <c r="F94" s="34"/>
    </row>
    <row r="95" spans="1:8" x14ac:dyDescent="0.25">
      <c r="C95" s="4" t="s">
        <v>324</v>
      </c>
      <c r="D95" s="8">
        <v>45919</v>
      </c>
      <c r="E95" s="34">
        <v>97</v>
      </c>
      <c r="F95" s="34"/>
    </row>
    <row r="96" spans="1:8" x14ac:dyDescent="0.25">
      <c r="E96" s="33"/>
      <c r="F96" s="33"/>
    </row>
    <row r="97" spans="3:8" ht="15.75" customHeight="1" x14ac:dyDescent="0.25">
      <c r="C97" s="4"/>
      <c r="D97" s="8"/>
      <c r="E97" s="33"/>
      <c r="F97" s="34"/>
    </row>
    <row r="98" spans="3:8" ht="15.75" customHeight="1" x14ac:dyDescent="0.25">
      <c r="C98" s="4"/>
      <c r="D98" s="8"/>
      <c r="E98" s="33"/>
      <c r="F98" s="34"/>
    </row>
    <row r="99" spans="3:8" ht="15.75" customHeight="1" x14ac:dyDescent="0.25">
      <c r="C99" s="4"/>
      <c r="E99" s="33"/>
      <c r="F99" s="34"/>
    </row>
    <row r="100" spans="3:8" ht="15.75" customHeight="1" x14ac:dyDescent="0.25">
      <c r="C100" s="4" t="s">
        <v>385</v>
      </c>
      <c r="E100" s="34"/>
      <c r="F100" s="34">
        <v>150</v>
      </c>
    </row>
    <row r="101" spans="3:8" ht="15.75" customHeight="1" x14ac:dyDescent="0.25">
      <c r="C101" s="4"/>
      <c r="D101" s="8"/>
      <c r="E101" s="152"/>
      <c r="F101" s="34"/>
    </row>
    <row r="102" spans="3:8" ht="15.75" customHeight="1" x14ac:dyDescent="0.25">
      <c r="C102" s="4"/>
      <c r="E102" s="152"/>
      <c r="F102" s="34"/>
    </row>
    <row r="103" spans="3:8" ht="15.75" customHeight="1" x14ac:dyDescent="0.25">
      <c r="E103" s="33"/>
    </row>
    <row r="104" spans="3:8" ht="15.75" customHeight="1" x14ac:dyDescent="0.25">
      <c r="E104" s="33"/>
      <c r="H104" s="95">
        <f>SUM(H2:H103)</f>
        <v>27828.22</v>
      </c>
    </row>
    <row r="105" spans="3:8" ht="15.75" customHeight="1" x14ac:dyDescent="0.25">
      <c r="E105" s="133">
        <f>SUM(E2:E104)</f>
        <v>40403.380000000005</v>
      </c>
      <c r="F105" s="133">
        <f>SUM(F10:F104)</f>
        <v>150</v>
      </c>
      <c r="G105" s="33">
        <f>SUM(E105:F105)</f>
        <v>40553.380000000005</v>
      </c>
    </row>
    <row r="106" spans="3:8" ht="15.75" customHeight="1" x14ac:dyDescent="0.25"/>
    <row r="107" spans="3:8" ht="15.75" customHeight="1" x14ac:dyDescent="0.25"/>
    <row r="108" spans="3:8" ht="15.75" customHeight="1" x14ac:dyDescent="0.25"/>
    <row r="109" spans="3:8" ht="15.75" customHeight="1" x14ac:dyDescent="0.25"/>
    <row r="110" spans="3:8" ht="15.75" customHeight="1" x14ac:dyDescent="0.25"/>
    <row r="111" spans="3:8" ht="15.75" customHeight="1" x14ac:dyDescent="0.25"/>
    <row r="112" spans="3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>
        <v>45933</v>
      </c>
      <c r="B2" s="22">
        <v>1</v>
      </c>
      <c r="C2" s="23" t="s">
        <v>77</v>
      </c>
      <c r="D2" s="9"/>
      <c r="F2" s="150"/>
      <c r="G2" s="4"/>
      <c r="H2" s="38">
        <v>13780.8</v>
      </c>
    </row>
    <row r="3" spans="1:9" x14ac:dyDescent="0.25">
      <c r="A3" s="17">
        <v>45933</v>
      </c>
      <c r="B3" s="32">
        <v>2</v>
      </c>
      <c r="C3" s="32" t="s">
        <v>259</v>
      </c>
      <c r="D3" s="29"/>
      <c r="E3" s="38"/>
      <c r="F3" s="38"/>
      <c r="G3" s="82"/>
      <c r="H3" s="38">
        <v>7748.66</v>
      </c>
    </row>
    <row r="4" spans="1:9" x14ac:dyDescent="0.25">
      <c r="A4" s="8">
        <v>45931</v>
      </c>
      <c r="B4" s="4">
        <v>117229</v>
      </c>
      <c r="C4" s="78" t="s">
        <v>287</v>
      </c>
      <c r="D4" s="54">
        <v>45931</v>
      </c>
      <c r="E4" s="34">
        <v>310.2</v>
      </c>
      <c r="F4" s="151"/>
    </row>
    <row r="5" spans="1:9" x14ac:dyDescent="0.25">
      <c r="A5" s="8">
        <v>45931</v>
      </c>
      <c r="B5" s="41">
        <v>45658</v>
      </c>
      <c r="C5" s="78" t="s">
        <v>379</v>
      </c>
      <c r="D5" s="54">
        <v>45931</v>
      </c>
      <c r="E5" s="85">
        <v>70</v>
      </c>
      <c r="F5" s="151"/>
    </row>
    <row r="6" spans="1:9" x14ac:dyDescent="0.25">
      <c r="A6" s="8">
        <v>45876</v>
      </c>
      <c r="B6" s="4">
        <v>17701</v>
      </c>
      <c r="C6" s="78" t="s">
        <v>121</v>
      </c>
      <c r="D6" s="54">
        <v>45933</v>
      </c>
      <c r="E6" s="34">
        <v>10.46</v>
      </c>
      <c r="F6" s="151"/>
    </row>
    <row r="7" spans="1:9" x14ac:dyDescent="0.25">
      <c r="A7" s="8" t="s">
        <v>383</v>
      </c>
      <c r="B7" s="4">
        <v>2859</v>
      </c>
      <c r="C7" s="51" t="s">
        <v>67</v>
      </c>
      <c r="D7" s="8" t="s">
        <v>384</v>
      </c>
      <c r="E7" s="85">
        <v>228</v>
      </c>
      <c r="F7" s="85" t="s">
        <v>236</v>
      </c>
    </row>
    <row r="8" spans="1:9" x14ac:dyDescent="0.25">
      <c r="A8" s="8">
        <v>45888</v>
      </c>
      <c r="B8" s="4">
        <v>2861</v>
      </c>
      <c r="C8" s="51" t="s">
        <v>67</v>
      </c>
      <c r="D8" s="8">
        <v>45933</v>
      </c>
      <c r="E8" s="85">
        <v>410.13</v>
      </c>
      <c r="F8" s="85" t="s">
        <v>236</v>
      </c>
    </row>
    <row r="9" spans="1:9" x14ac:dyDescent="0.25">
      <c r="A9" s="8">
        <v>45898</v>
      </c>
      <c r="B9" s="78">
        <v>2992</v>
      </c>
      <c r="C9" s="78" t="s">
        <v>67</v>
      </c>
      <c r="D9" s="8">
        <v>45933</v>
      </c>
      <c r="E9" s="85">
        <v>712.5</v>
      </c>
      <c r="F9" s="85" t="s">
        <v>236</v>
      </c>
    </row>
    <row r="10" spans="1:9" x14ac:dyDescent="0.25">
      <c r="A10" s="8">
        <v>45898</v>
      </c>
      <c r="B10" s="78">
        <v>2997</v>
      </c>
      <c r="C10" s="78" t="s">
        <v>67</v>
      </c>
      <c r="D10" s="8">
        <v>45933</v>
      </c>
      <c r="E10" s="85">
        <v>29.5</v>
      </c>
      <c r="F10" s="85" t="s">
        <v>236</v>
      </c>
    </row>
    <row r="11" spans="1:9" x14ac:dyDescent="0.25">
      <c r="A11" s="8">
        <v>45898</v>
      </c>
      <c r="B11" s="78">
        <v>280</v>
      </c>
      <c r="C11" s="78" t="s">
        <v>369</v>
      </c>
      <c r="D11" s="54">
        <v>45933</v>
      </c>
      <c r="E11" s="85">
        <v>1087</v>
      </c>
      <c r="F11" s="85"/>
    </row>
    <row r="12" spans="1:9" x14ac:dyDescent="0.25">
      <c r="A12" s="8">
        <v>45901</v>
      </c>
      <c r="B12" s="153">
        <v>1373314</v>
      </c>
      <c r="C12" s="51" t="s">
        <v>148</v>
      </c>
      <c r="D12" s="8">
        <v>45933</v>
      </c>
      <c r="E12" s="34">
        <v>232.4</v>
      </c>
      <c r="F12" s="85"/>
    </row>
    <row r="13" spans="1:9" x14ac:dyDescent="0.25">
      <c r="A13" s="8" t="s">
        <v>386</v>
      </c>
      <c r="B13" s="4">
        <v>21753</v>
      </c>
      <c r="C13" s="51" t="s">
        <v>387</v>
      </c>
      <c r="D13" s="8">
        <v>45933</v>
      </c>
      <c r="E13" s="34">
        <v>352.5</v>
      </c>
      <c r="F13" s="85"/>
    </row>
    <row r="14" spans="1:9" x14ac:dyDescent="0.25">
      <c r="A14" s="8">
        <v>45901</v>
      </c>
      <c r="B14" s="4">
        <v>208461</v>
      </c>
      <c r="C14" s="4" t="s">
        <v>382</v>
      </c>
      <c r="D14" s="8">
        <v>45933</v>
      </c>
      <c r="E14" s="34">
        <v>130</v>
      </c>
      <c r="F14" s="85"/>
    </row>
    <row r="15" spans="1:9" x14ac:dyDescent="0.25">
      <c r="A15" s="8">
        <v>45901</v>
      </c>
      <c r="B15" s="4">
        <v>3020</v>
      </c>
      <c r="C15" s="4" t="s">
        <v>67</v>
      </c>
      <c r="D15" s="8">
        <v>45933</v>
      </c>
      <c r="E15" s="85">
        <v>215.4</v>
      </c>
      <c r="F15" s="85" t="s">
        <v>236</v>
      </c>
    </row>
    <row r="16" spans="1:9" x14ac:dyDescent="0.25">
      <c r="A16" s="8">
        <v>45902</v>
      </c>
      <c r="B16" s="4">
        <v>3055</v>
      </c>
      <c r="C16" s="4" t="s">
        <v>67</v>
      </c>
      <c r="D16" s="8">
        <v>45933</v>
      </c>
      <c r="E16" s="85">
        <v>574.20000000000005</v>
      </c>
      <c r="F16" s="85" t="s">
        <v>236</v>
      </c>
    </row>
    <row r="17" spans="1:9" x14ac:dyDescent="0.25">
      <c r="A17" s="8">
        <v>45902</v>
      </c>
      <c r="B17" s="4">
        <v>17853</v>
      </c>
      <c r="C17" s="4" t="s">
        <v>388</v>
      </c>
      <c r="D17" s="8">
        <v>45933</v>
      </c>
      <c r="E17" s="34">
        <v>137.5</v>
      </c>
      <c r="F17" s="70"/>
    </row>
    <row r="18" spans="1:9" x14ac:dyDescent="0.25">
      <c r="A18" s="8">
        <v>45903</v>
      </c>
      <c r="B18" s="4">
        <v>24711</v>
      </c>
      <c r="C18" s="4" t="s">
        <v>193</v>
      </c>
      <c r="D18" s="8">
        <v>45933</v>
      </c>
      <c r="E18" s="34">
        <v>259.2</v>
      </c>
      <c r="F18" s="70"/>
    </row>
    <row r="19" spans="1:9" x14ac:dyDescent="0.25">
      <c r="A19" s="54">
        <v>45903</v>
      </c>
      <c r="B19" s="78">
        <v>38843</v>
      </c>
      <c r="C19" s="78" t="s">
        <v>116</v>
      </c>
      <c r="D19" s="8">
        <v>45933</v>
      </c>
      <c r="E19" s="85">
        <v>425</v>
      </c>
      <c r="F19" s="70"/>
    </row>
    <row r="20" spans="1:9" x14ac:dyDescent="0.25">
      <c r="A20" s="54">
        <v>45905</v>
      </c>
      <c r="B20" s="78">
        <v>38885</v>
      </c>
      <c r="C20" s="78" t="s">
        <v>116</v>
      </c>
      <c r="D20" s="8">
        <v>45933</v>
      </c>
      <c r="E20" s="85">
        <v>77</v>
      </c>
      <c r="F20" s="70"/>
    </row>
    <row r="21" spans="1:9" x14ac:dyDescent="0.25">
      <c r="A21" s="54">
        <v>45931</v>
      </c>
      <c r="B21" s="116">
        <v>45901</v>
      </c>
      <c r="C21" s="4" t="s">
        <v>350</v>
      </c>
      <c r="D21" s="54">
        <v>45947</v>
      </c>
      <c r="E21" s="70">
        <v>5000</v>
      </c>
      <c r="F21" s="70">
        <v>5000</v>
      </c>
    </row>
    <row r="22" spans="1:9" x14ac:dyDescent="0.25">
      <c r="A22" s="54">
        <v>45933</v>
      </c>
      <c r="B22" s="116">
        <v>45901</v>
      </c>
      <c r="C22" s="4" t="s">
        <v>175</v>
      </c>
      <c r="D22" s="8">
        <v>45933</v>
      </c>
      <c r="E22" s="85">
        <v>1432.87</v>
      </c>
      <c r="F22" s="85"/>
      <c r="I22" s="154" t="s">
        <v>389</v>
      </c>
    </row>
    <row r="23" spans="1:9" x14ac:dyDescent="0.25">
      <c r="A23" s="54">
        <v>45933</v>
      </c>
      <c r="B23" s="116">
        <v>45901</v>
      </c>
      <c r="C23" s="4" t="s">
        <v>241</v>
      </c>
      <c r="D23" s="8">
        <v>45933</v>
      </c>
      <c r="E23" s="85">
        <v>2120</v>
      </c>
      <c r="F23" s="85" t="s">
        <v>236</v>
      </c>
    </row>
    <row r="24" spans="1:9" x14ac:dyDescent="0.25">
      <c r="A24" s="54">
        <v>45933</v>
      </c>
      <c r="B24" s="116">
        <v>45901</v>
      </c>
      <c r="C24" s="4" t="s">
        <v>244</v>
      </c>
      <c r="D24" s="8">
        <v>45933</v>
      </c>
      <c r="E24" s="85">
        <v>1908</v>
      </c>
      <c r="F24" s="85" t="s">
        <v>236</v>
      </c>
    </row>
    <row r="25" spans="1:9" x14ac:dyDescent="0.25">
      <c r="A25" s="54">
        <v>45933</v>
      </c>
      <c r="B25" s="116">
        <v>45901</v>
      </c>
      <c r="C25" s="4" t="s">
        <v>243</v>
      </c>
      <c r="D25" s="8">
        <v>45933</v>
      </c>
      <c r="E25" s="85">
        <v>2470</v>
      </c>
      <c r="F25" s="85"/>
    </row>
    <row r="26" spans="1:9" x14ac:dyDescent="0.25">
      <c r="A26" s="54">
        <v>45933</v>
      </c>
      <c r="B26" s="116">
        <v>45901</v>
      </c>
      <c r="C26" s="4" t="s">
        <v>390</v>
      </c>
      <c r="D26" s="54">
        <v>45933</v>
      </c>
      <c r="E26" s="85">
        <v>2436.8000000000002</v>
      </c>
      <c r="F26" s="85"/>
    </row>
    <row r="27" spans="1:9" x14ac:dyDescent="0.25">
      <c r="A27" s="54">
        <v>45933</v>
      </c>
      <c r="B27" s="116">
        <v>45901</v>
      </c>
      <c r="C27" s="4" t="s">
        <v>251</v>
      </c>
      <c r="D27" s="54">
        <v>45933</v>
      </c>
      <c r="E27" s="85">
        <v>885.08</v>
      </c>
      <c r="F27" s="85"/>
    </row>
    <row r="28" spans="1:9" x14ac:dyDescent="0.25">
      <c r="A28" s="54">
        <v>45933</v>
      </c>
      <c r="B28" s="116">
        <v>45901</v>
      </c>
      <c r="C28" s="4" t="s">
        <v>123</v>
      </c>
      <c r="D28" s="54">
        <v>45933</v>
      </c>
      <c r="E28" s="85">
        <v>358.8</v>
      </c>
      <c r="F28" s="85"/>
    </row>
    <row r="29" spans="1:9" x14ac:dyDescent="0.25">
      <c r="A29" s="54">
        <v>45931</v>
      </c>
      <c r="B29" s="116">
        <v>45931</v>
      </c>
      <c r="C29" s="4" t="s">
        <v>245</v>
      </c>
      <c r="D29" s="54">
        <v>45933</v>
      </c>
      <c r="E29" s="85">
        <v>800</v>
      </c>
      <c r="F29" s="85"/>
    </row>
    <row r="30" spans="1:9" x14ac:dyDescent="0.25">
      <c r="A30" s="54">
        <v>45931</v>
      </c>
      <c r="B30" s="116">
        <v>45901</v>
      </c>
      <c r="C30" s="4" t="s">
        <v>391</v>
      </c>
      <c r="D30" s="54">
        <v>45933</v>
      </c>
      <c r="E30" s="34">
        <v>885.36</v>
      </c>
      <c r="F30" s="34"/>
    </row>
    <row r="31" spans="1:9" x14ac:dyDescent="0.25">
      <c r="A31" s="54">
        <v>45931</v>
      </c>
      <c r="B31" s="139">
        <v>45931</v>
      </c>
      <c r="C31" s="78" t="s">
        <v>262</v>
      </c>
      <c r="D31" s="8">
        <v>45933</v>
      </c>
      <c r="E31" s="34">
        <v>550</v>
      </c>
      <c r="F31" s="34"/>
    </row>
    <row r="32" spans="1:9" x14ac:dyDescent="0.25">
      <c r="A32" s="54">
        <v>45937</v>
      </c>
      <c r="B32" s="116">
        <v>45901</v>
      </c>
      <c r="C32" s="78" t="s">
        <v>392</v>
      </c>
      <c r="D32" s="8">
        <v>45937</v>
      </c>
      <c r="E32" s="85">
        <v>556</v>
      </c>
      <c r="F32" s="85"/>
      <c r="H32" s="4">
        <v>555.96</v>
      </c>
    </row>
    <row r="33" spans="1:8" x14ac:dyDescent="0.25">
      <c r="A33" s="54">
        <v>45934</v>
      </c>
      <c r="B33" s="116">
        <v>45901</v>
      </c>
      <c r="C33" s="78" t="s">
        <v>248</v>
      </c>
      <c r="D33" s="8">
        <v>45937</v>
      </c>
      <c r="E33" s="85">
        <v>580</v>
      </c>
      <c r="F33" s="85"/>
      <c r="H33" s="4">
        <v>578.6</v>
      </c>
    </row>
    <row r="34" spans="1:8" x14ac:dyDescent="0.25">
      <c r="A34" s="54">
        <v>45924</v>
      </c>
      <c r="B34" s="78">
        <v>18270</v>
      </c>
      <c r="C34" s="78" t="s">
        <v>99</v>
      </c>
      <c r="D34" s="8">
        <v>45937</v>
      </c>
      <c r="E34" s="85">
        <v>165</v>
      </c>
      <c r="F34" s="85"/>
    </row>
    <row r="35" spans="1:8" x14ac:dyDescent="0.25">
      <c r="A35" s="54">
        <v>45933</v>
      </c>
      <c r="B35" s="78">
        <v>18466</v>
      </c>
      <c r="C35" s="51" t="s">
        <v>240</v>
      </c>
      <c r="D35" s="8">
        <v>45937</v>
      </c>
      <c r="E35" s="34">
        <v>82.5</v>
      </c>
      <c r="F35" s="85"/>
    </row>
    <row r="36" spans="1:8" x14ac:dyDescent="0.25">
      <c r="A36" s="54">
        <v>45937</v>
      </c>
      <c r="B36" s="78">
        <v>18547</v>
      </c>
      <c r="C36" s="51" t="s">
        <v>240</v>
      </c>
      <c r="D36" s="8">
        <v>45937</v>
      </c>
      <c r="E36" s="85">
        <v>76.5</v>
      </c>
      <c r="F36" s="85"/>
    </row>
    <row r="37" spans="1:8" x14ac:dyDescent="0.25">
      <c r="A37" s="54">
        <v>45939</v>
      </c>
      <c r="B37" s="139">
        <v>45901</v>
      </c>
      <c r="C37" s="51" t="s">
        <v>299</v>
      </c>
      <c r="D37" s="8">
        <v>45938</v>
      </c>
      <c r="E37" s="34">
        <v>185</v>
      </c>
      <c r="F37" s="34"/>
    </row>
    <row r="38" spans="1:8" x14ac:dyDescent="0.25">
      <c r="A38" s="54">
        <v>45939</v>
      </c>
      <c r="B38" s="139">
        <v>45901</v>
      </c>
      <c r="C38" s="51" t="s">
        <v>258</v>
      </c>
      <c r="D38" s="8">
        <v>45938</v>
      </c>
      <c r="E38" s="34">
        <v>110</v>
      </c>
      <c r="F38" s="34"/>
    </row>
    <row r="39" spans="1:8" x14ac:dyDescent="0.25">
      <c r="A39" s="8">
        <v>45901</v>
      </c>
      <c r="B39" s="4">
        <v>31853</v>
      </c>
      <c r="C39" s="4" t="s">
        <v>37</v>
      </c>
      <c r="D39" s="8">
        <v>45944</v>
      </c>
      <c r="E39" s="85">
        <v>67.69</v>
      </c>
      <c r="F39" s="70"/>
      <c r="H39" s="4" t="s">
        <v>393</v>
      </c>
    </row>
    <row r="40" spans="1:8" x14ac:dyDescent="0.25">
      <c r="A40" s="8">
        <v>45902</v>
      </c>
      <c r="B40" s="4">
        <v>31963</v>
      </c>
      <c r="C40" s="4" t="s">
        <v>37</v>
      </c>
      <c r="D40" s="8">
        <v>45944</v>
      </c>
      <c r="E40" s="85">
        <v>261.25</v>
      </c>
      <c r="F40" s="70"/>
      <c r="H40" s="4" t="s">
        <v>394</v>
      </c>
    </row>
    <row r="41" spans="1:8" x14ac:dyDescent="0.25">
      <c r="A41" s="8">
        <v>45903</v>
      </c>
      <c r="B41" s="4">
        <v>32052</v>
      </c>
      <c r="C41" s="4" t="s">
        <v>37</v>
      </c>
      <c r="D41" s="8">
        <v>45944</v>
      </c>
      <c r="E41" s="85">
        <v>1454.93</v>
      </c>
      <c r="F41" s="70"/>
      <c r="H41" s="4" t="s">
        <v>395</v>
      </c>
    </row>
    <row r="42" spans="1:8" x14ac:dyDescent="0.25">
      <c r="A42" s="54">
        <v>45908</v>
      </c>
      <c r="B42" s="78">
        <v>22012</v>
      </c>
      <c r="C42" s="78" t="s">
        <v>387</v>
      </c>
      <c r="D42" s="8">
        <v>45940</v>
      </c>
      <c r="E42" s="85">
        <v>159.9</v>
      </c>
      <c r="F42" s="85"/>
    </row>
    <row r="43" spans="1:8" x14ac:dyDescent="0.25">
      <c r="A43" s="54">
        <v>45908</v>
      </c>
      <c r="B43" s="78">
        <v>32339</v>
      </c>
      <c r="C43" s="78" t="s">
        <v>37</v>
      </c>
      <c r="D43" s="8">
        <v>45944</v>
      </c>
      <c r="E43" s="85">
        <v>350.08</v>
      </c>
      <c r="F43" s="70"/>
      <c r="H43" s="4" t="s">
        <v>396</v>
      </c>
    </row>
    <row r="44" spans="1:8" x14ac:dyDescent="0.25">
      <c r="A44" s="54">
        <v>45908</v>
      </c>
      <c r="B44" s="78">
        <v>38897</v>
      </c>
      <c r="C44" s="78" t="s">
        <v>116</v>
      </c>
      <c r="D44" s="8">
        <v>45944</v>
      </c>
      <c r="E44" s="85">
        <v>204</v>
      </c>
      <c r="F44" s="85" t="s">
        <v>236</v>
      </c>
    </row>
    <row r="45" spans="1:8" x14ac:dyDescent="0.25">
      <c r="A45" s="8">
        <v>45911</v>
      </c>
      <c r="B45" s="4">
        <v>570</v>
      </c>
      <c r="C45" s="4" t="s">
        <v>96</v>
      </c>
      <c r="D45" s="8">
        <v>45940</v>
      </c>
      <c r="E45" s="34">
        <v>355</v>
      </c>
      <c r="F45" s="34" t="s">
        <v>236</v>
      </c>
    </row>
    <row r="46" spans="1:8" x14ac:dyDescent="0.25">
      <c r="A46" s="54">
        <v>45909</v>
      </c>
      <c r="B46" s="78">
        <v>22049</v>
      </c>
      <c r="C46" s="78" t="s">
        <v>387</v>
      </c>
      <c r="D46" s="8">
        <v>45940</v>
      </c>
      <c r="E46" s="85">
        <v>497.5</v>
      </c>
      <c r="F46" s="85" t="s">
        <v>236</v>
      </c>
    </row>
    <row r="47" spans="1:8" x14ac:dyDescent="0.25">
      <c r="A47" s="54">
        <v>45909</v>
      </c>
      <c r="B47" s="78">
        <v>43973</v>
      </c>
      <c r="C47" s="78" t="s">
        <v>36</v>
      </c>
      <c r="D47" s="155">
        <v>45940</v>
      </c>
      <c r="E47" s="85">
        <v>670</v>
      </c>
      <c r="F47" s="85" t="s">
        <v>236</v>
      </c>
    </row>
    <row r="48" spans="1:8" x14ac:dyDescent="0.25">
      <c r="A48" s="54">
        <v>45909</v>
      </c>
      <c r="B48" s="78">
        <v>24792</v>
      </c>
      <c r="C48" s="78" t="s">
        <v>193</v>
      </c>
      <c r="D48" s="155">
        <v>45940</v>
      </c>
      <c r="E48" s="85">
        <v>139.65</v>
      </c>
      <c r="F48" s="85" t="s">
        <v>236</v>
      </c>
    </row>
    <row r="49" spans="1:9" x14ac:dyDescent="0.25">
      <c r="A49" s="54">
        <v>45909</v>
      </c>
      <c r="B49" s="78">
        <v>24801</v>
      </c>
      <c r="C49" s="78" t="s">
        <v>193</v>
      </c>
      <c r="D49" s="155">
        <v>45940</v>
      </c>
      <c r="E49" s="85">
        <v>378</v>
      </c>
      <c r="F49" s="85" t="s">
        <v>236</v>
      </c>
    </row>
    <row r="50" spans="1:9" x14ac:dyDescent="0.25">
      <c r="A50" s="117">
        <v>45902</v>
      </c>
      <c r="B50" s="119">
        <v>66550</v>
      </c>
      <c r="C50" s="119" t="s">
        <v>264</v>
      </c>
      <c r="D50" s="156">
        <v>45940</v>
      </c>
      <c r="E50" s="85">
        <v>41.37</v>
      </c>
      <c r="F50" s="85" t="s">
        <v>236</v>
      </c>
    </row>
    <row r="51" spans="1:9" x14ac:dyDescent="0.25">
      <c r="A51" s="117">
        <v>45915</v>
      </c>
      <c r="B51" s="119">
        <v>66656</v>
      </c>
      <c r="C51" s="119" t="s">
        <v>264</v>
      </c>
      <c r="D51" s="156">
        <v>45940</v>
      </c>
      <c r="E51" s="85">
        <v>47.98</v>
      </c>
      <c r="F51" s="85" t="s">
        <v>236</v>
      </c>
    </row>
    <row r="52" spans="1:9" x14ac:dyDescent="0.25">
      <c r="A52" s="117">
        <v>45930</v>
      </c>
      <c r="B52" s="119">
        <v>66762</v>
      </c>
      <c r="C52" s="119" t="s">
        <v>264</v>
      </c>
      <c r="D52" s="156">
        <v>45940</v>
      </c>
      <c r="E52" s="85">
        <v>12.35</v>
      </c>
      <c r="F52" s="85" t="s">
        <v>236</v>
      </c>
    </row>
    <row r="53" spans="1:9" x14ac:dyDescent="0.25">
      <c r="A53" s="54">
        <v>45910</v>
      </c>
      <c r="B53" s="78">
        <v>22089</v>
      </c>
      <c r="C53" s="78" t="s">
        <v>89</v>
      </c>
      <c r="D53" s="157">
        <v>45940</v>
      </c>
      <c r="E53" s="85">
        <v>249</v>
      </c>
      <c r="F53" s="85" t="s">
        <v>236</v>
      </c>
    </row>
    <row r="54" spans="1:9" x14ac:dyDescent="0.25">
      <c r="A54" s="8">
        <v>45911</v>
      </c>
      <c r="B54" s="4">
        <v>22195</v>
      </c>
      <c r="C54" s="4" t="s">
        <v>89</v>
      </c>
      <c r="D54" s="155">
        <v>45940</v>
      </c>
      <c r="E54" s="34">
        <v>82.95</v>
      </c>
      <c r="F54" s="34" t="s">
        <v>236</v>
      </c>
    </row>
    <row r="55" spans="1:9" x14ac:dyDescent="0.25">
      <c r="A55" s="8">
        <v>45911</v>
      </c>
      <c r="B55" s="4">
        <v>21051</v>
      </c>
      <c r="C55" s="4" t="s">
        <v>283</v>
      </c>
      <c r="D55" s="155">
        <v>45944</v>
      </c>
      <c r="E55" s="34">
        <v>475.88</v>
      </c>
      <c r="F55" s="34" t="s">
        <v>236</v>
      </c>
    </row>
    <row r="56" spans="1:9" x14ac:dyDescent="0.25">
      <c r="A56" s="8">
        <v>45911</v>
      </c>
      <c r="B56" s="4">
        <v>17894</v>
      </c>
      <c r="C56" s="4" t="s">
        <v>121</v>
      </c>
      <c r="D56" s="155">
        <v>45944</v>
      </c>
      <c r="E56" s="34">
        <v>183.28</v>
      </c>
      <c r="F56" s="34" t="s">
        <v>236</v>
      </c>
    </row>
    <row r="57" spans="1:9" x14ac:dyDescent="0.25">
      <c r="A57" s="8">
        <v>45912</v>
      </c>
      <c r="B57" s="4">
        <v>21056</v>
      </c>
      <c r="C57" s="4" t="s">
        <v>283</v>
      </c>
      <c r="D57" s="155">
        <v>45944</v>
      </c>
      <c r="E57" s="34">
        <v>74</v>
      </c>
      <c r="F57" s="34" t="s">
        <v>236</v>
      </c>
    </row>
    <row r="58" spans="1:9" x14ac:dyDescent="0.25">
      <c r="A58" s="54">
        <v>45908</v>
      </c>
      <c r="B58" s="78">
        <v>38896</v>
      </c>
      <c r="C58" s="78" t="s">
        <v>116</v>
      </c>
      <c r="D58" s="157">
        <v>45944</v>
      </c>
      <c r="E58" s="85">
        <v>144.5</v>
      </c>
      <c r="F58" s="85" t="s">
        <v>236</v>
      </c>
    </row>
    <row r="59" spans="1:9" x14ac:dyDescent="0.25">
      <c r="A59" s="8">
        <v>45901</v>
      </c>
      <c r="B59" s="81">
        <v>45901</v>
      </c>
      <c r="C59" s="4" t="s">
        <v>398</v>
      </c>
      <c r="D59" s="155">
        <v>45944</v>
      </c>
      <c r="E59" s="34">
        <v>62.08</v>
      </c>
      <c r="F59" s="34"/>
      <c r="I59" s="4" t="s">
        <v>399</v>
      </c>
    </row>
    <row r="60" spans="1:9" x14ac:dyDescent="0.25">
      <c r="A60" s="8">
        <v>45931</v>
      </c>
      <c r="B60" s="140">
        <v>45931</v>
      </c>
      <c r="C60" s="4" t="s">
        <v>316</v>
      </c>
      <c r="D60" s="8">
        <v>45944</v>
      </c>
      <c r="E60" s="34">
        <v>99.99</v>
      </c>
      <c r="F60" s="34"/>
    </row>
    <row r="61" spans="1:9" x14ac:dyDescent="0.25">
      <c r="A61" s="8">
        <v>45944</v>
      </c>
      <c r="B61" s="4">
        <v>117510</v>
      </c>
      <c r="C61" s="4" t="s">
        <v>287</v>
      </c>
      <c r="D61" s="155">
        <v>45944</v>
      </c>
      <c r="E61" s="34">
        <v>1216.57</v>
      </c>
      <c r="F61" s="34"/>
    </row>
    <row r="62" spans="1:9" x14ac:dyDescent="0.25">
      <c r="A62" s="8">
        <v>45944</v>
      </c>
      <c r="B62" s="4">
        <v>1052766</v>
      </c>
      <c r="C62" s="4" t="s">
        <v>158</v>
      </c>
      <c r="D62" s="155">
        <v>45944</v>
      </c>
      <c r="E62" s="34">
        <v>146.77000000000001</v>
      </c>
      <c r="F62" s="34"/>
    </row>
    <row r="63" spans="1:9" x14ac:dyDescent="0.25">
      <c r="A63" s="8">
        <v>45944</v>
      </c>
      <c r="B63" s="4">
        <v>49035</v>
      </c>
      <c r="C63" s="4" t="s">
        <v>164</v>
      </c>
      <c r="D63" s="155">
        <v>45944</v>
      </c>
      <c r="E63" s="34">
        <v>270</v>
      </c>
      <c r="F63" s="34"/>
    </row>
    <row r="64" spans="1:9" x14ac:dyDescent="0.25">
      <c r="A64" s="8">
        <v>45944</v>
      </c>
      <c r="B64" s="4">
        <v>12048</v>
      </c>
      <c r="C64" s="4" t="s">
        <v>400</v>
      </c>
      <c r="D64" s="155">
        <v>45945</v>
      </c>
      <c r="E64" s="34">
        <v>24</v>
      </c>
      <c r="F64" s="34"/>
    </row>
    <row r="65" spans="1:9" x14ac:dyDescent="0.25">
      <c r="A65" s="8">
        <v>45946</v>
      </c>
      <c r="B65" s="4">
        <v>94092</v>
      </c>
      <c r="C65" s="4" t="s">
        <v>284</v>
      </c>
      <c r="D65" s="155">
        <v>45946</v>
      </c>
      <c r="E65" s="34">
        <v>116</v>
      </c>
      <c r="F65" s="34"/>
    </row>
    <row r="66" spans="1:9" x14ac:dyDescent="0.25">
      <c r="A66" s="8">
        <v>45947</v>
      </c>
      <c r="B66" s="4">
        <v>117601</v>
      </c>
      <c r="C66" s="4" t="s">
        <v>287</v>
      </c>
      <c r="D66" s="155">
        <v>45947</v>
      </c>
      <c r="E66" s="34">
        <v>63.08</v>
      </c>
      <c r="F66" s="34"/>
    </row>
    <row r="67" spans="1:9" x14ac:dyDescent="0.25">
      <c r="A67" s="8">
        <v>45911</v>
      </c>
      <c r="B67" s="4">
        <v>3202</v>
      </c>
      <c r="C67" s="4" t="s">
        <v>67</v>
      </c>
      <c r="D67" s="155">
        <v>45947</v>
      </c>
      <c r="E67" s="85">
        <v>246.1</v>
      </c>
      <c r="F67" s="34"/>
    </row>
    <row r="68" spans="1:9" x14ac:dyDescent="0.25">
      <c r="A68" s="8">
        <v>45911</v>
      </c>
      <c r="B68" s="4">
        <v>3198</v>
      </c>
      <c r="C68" s="4" t="s">
        <v>67</v>
      </c>
      <c r="D68" s="155">
        <v>45941</v>
      </c>
      <c r="E68" s="85">
        <v>379.95</v>
      </c>
      <c r="F68" s="34"/>
    </row>
    <row r="69" spans="1:9" x14ac:dyDescent="0.25">
      <c r="A69" s="8">
        <v>45863</v>
      </c>
      <c r="B69" s="4">
        <v>29566</v>
      </c>
      <c r="C69" s="4" t="s">
        <v>37</v>
      </c>
      <c r="D69" s="155">
        <v>45947</v>
      </c>
      <c r="E69" s="34">
        <v>203.78</v>
      </c>
      <c r="F69" s="34"/>
      <c r="I69" s="4" t="s">
        <v>401</v>
      </c>
    </row>
    <row r="70" spans="1:9" x14ac:dyDescent="0.25">
      <c r="A70" s="8">
        <v>45881</v>
      </c>
      <c r="B70" s="4">
        <v>30625</v>
      </c>
      <c r="C70" s="4" t="s">
        <v>37</v>
      </c>
      <c r="D70" s="155">
        <v>45947</v>
      </c>
      <c r="E70" s="34">
        <v>244.53</v>
      </c>
      <c r="F70" s="34"/>
      <c r="I70" s="4" t="s">
        <v>402</v>
      </c>
    </row>
    <row r="71" spans="1:9" x14ac:dyDescent="0.25">
      <c r="A71" s="8">
        <v>45902</v>
      </c>
      <c r="B71" s="4">
        <v>31964</v>
      </c>
      <c r="C71" s="4" t="s">
        <v>37</v>
      </c>
      <c r="D71" s="155">
        <v>45947</v>
      </c>
      <c r="E71" s="34">
        <v>312.55</v>
      </c>
      <c r="F71" s="34"/>
      <c r="I71" s="4" t="s">
        <v>404</v>
      </c>
    </row>
    <row r="72" spans="1:9" x14ac:dyDescent="0.25">
      <c r="A72" s="54">
        <v>45912</v>
      </c>
      <c r="B72" s="78">
        <v>32649</v>
      </c>
      <c r="C72" s="78" t="s">
        <v>405</v>
      </c>
      <c r="D72" s="157">
        <v>45947</v>
      </c>
      <c r="E72" s="85">
        <v>1540.71</v>
      </c>
      <c r="F72" s="70"/>
      <c r="I72" s="4" t="s">
        <v>406</v>
      </c>
    </row>
    <row r="73" spans="1:9" x14ac:dyDescent="0.25">
      <c r="A73" s="8">
        <v>45917</v>
      </c>
      <c r="B73" s="4">
        <v>32993</v>
      </c>
      <c r="C73" s="4" t="s">
        <v>37</v>
      </c>
      <c r="D73" s="155">
        <v>45947</v>
      </c>
      <c r="E73" s="34">
        <v>84.55</v>
      </c>
      <c r="F73" s="34"/>
      <c r="I73" s="4" t="s">
        <v>376</v>
      </c>
    </row>
    <row r="74" spans="1:9" x14ac:dyDescent="0.25">
      <c r="A74" s="8">
        <v>45917</v>
      </c>
      <c r="B74" s="4">
        <v>43826</v>
      </c>
      <c r="C74" s="4" t="s">
        <v>174</v>
      </c>
      <c r="D74" s="155">
        <v>45947</v>
      </c>
      <c r="E74" s="159" t="s">
        <v>407</v>
      </c>
      <c r="F74" s="34"/>
    </row>
    <row r="75" spans="1:9" x14ac:dyDescent="0.25">
      <c r="A75" s="8">
        <v>45931</v>
      </c>
      <c r="B75" s="4">
        <v>15751</v>
      </c>
      <c r="C75" s="78" t="s">
        <v>27</v>
      </c>
      <c r="D75" s="54">
        <v>45947</v>
      </c>
      <c r="E75" s="85">
        <v>100</v>
      </c>
      <c r="F75" s="85"/>
    </row>
    <row r="76" spans="1:9" x14ac:dyDescent="0.25">
      <c r="A76" s="8">
        <v>45918</v>
      </c>
      <c r="B76" s="4">
        <v>2320</v>
      </c>
      <c r="C76" s="4" t="s">
        <v>358</v>
      </c>
      <c r="D76" s="155">
        <v>45947</v>
      </c>
      <c r="E76" s="34">
        <v>1376</v>
      </c>
      <c r="F76" s="34"/>
    </row>
    <row r="77" spans="1:9" x14ac:dyDescent="0.25">
      <c r="A77" s="8">
        <v>45943</v>
      </c>
      <c r="B77" s="4">
        <v>18686</v>
      </c>
      <c r="C77" s="4" t="s">
        <v>240</v>
      </c>
      <c r="D77" s="8">
        <v>45947</v>
      </c>
      <c r="E77" s="34">
        <v>165</v>
      </c>
      <c r="F77" s="34"/>
    </row>
    <row r="78" spans="1:9" x14ac:dyDescent="0.25">
      <c r="A78" s="8">
        <v>38626</v>
      </c>
      <c r="B78" s="81">
        <v>45658</v>
      </c>
      <c r="C78" s="4" t="s">
        <v>178</v>
      </c>
      <c r="D78" s="8">
        <v>45947</v>
      </c>
      <c r="E78" s="34">
        <v>720</v>
      </c>
      <c r="F78" s="34"/>
    </row>
    <row r="79" spans="1:9" x14ac:dyDescent="0.25">
      <c r="A79" s="8">
        <v>45931</v>
      </c>
      <c r="B79" s="81">
        <v>45901</v>
      </c>
      <c r="C79" s="51" t="s">
        <v>151</v>
      </c>
      <c r="D79" s="8">
        <v>45947</v>
      </c>
      <c r="E79" s="34">
        <v>76.900000000000006</v>
      </c>
      <c r="F79" s="34" t="s">
        <v>236</v>
      </c>
    </row>
    <row r="80" spans="1:9" x14ac:dyDescent="0.25">
      <c r="A80" s="8">
        <v>45931</v>
      </c>
      <c r="B80" s="81">
        <v>45901</v>
      </c>
      <c r="C80" s="4" t="s">
        <v>184</v>
      </c>
      <c r="D80" s="8">
        <v>45947</v>
      </c>
      <c r="E80" s="34">
        <v>1693.56</v>
      </c>
      <c r="F80" s="34"/>
    </row>
    <row r="81" spans="1:9" x14ac:dyDescent="0.25">
      <c r="A81" s="8">
        <v>45931</v>
      </c>
      <c r="B81" s="81">
        <v>45901</v>
      </c>
      <c r="C81" s="4" t="s">
        <v>408</v>
      </c>
      <c r="D81" s="8">
        <v>45947</v>
      </c>
      <c r="E81" s="34">
        <v>192</v>
      </c>
      <c r="F81" s="34"/>
    </row>
    <row r="82" spans="1:9" x14ac:dyDescent="0.25">
      <c r="A82" s="8">
        <v>45931</v>
      </c>
      <c r="B82" s="81">
        <v>45901</v>
      </c>
      <c r="C82" s="4" t="s">
        <v>275</v>
      </c>
      <c r="D82" s="8">
        <v>45947</v>
      </c>
      <c r="E82" s="34">
        <v>503.87</v>
      </c>
      <c r="F82" s="34"/>
    </row>
    <row r="83" spans="1:9" x14ac:dyDescent="0.25">
      <c r="A83" s="8">
        <v>45953</v>
      </c>
      <c r="B83" s="140">
        <v>45931</v>
      </c>
      <c r="C83" s="4" t="s">
        <v>409</v>
      </c>
      <c r="D83" s="155">
        <v>45953</v>
      </c>
      <c r="E83" s="34">
        <v>150</v>
      </c>
      <c r="F83" s="34"/>
    </row>
    <row r="84" spans="1:9" x14ac:dyDescent="0.25">
      <c r="A84" s="121">
        <v>45954</v>
      </c>
      <c r="B84" s="161">
        <v>45931</v>
      </c>
      <c r="C84" s="102" t="s">
        <v>339</v>
      </c>
      <c r="D84" s="145">
        <v>45955</v>
      </c>
      <c r="E84" s="146">
        <v>120</v>
      </c>
      <c r="F84" s="162"/>
    </row>
    <row r="85" spans="1:9" x14ac:dyDescent="0.25">
      <c r="A85" s="8">
        <v>45955</v>
      </c>
      <c r="B85" s="140">
        <v>45931</v>
      </c>
      <c r="C85" s="4" t="s">
        <v>181</v>
      </c>
      <c r="D85" s="8">
        <v>45957</v>
      </c>
      <c r="E85" s="34">
        <v>360</v>
      </c>
      <c r="F85" s="34"/>
    </row>
    <row r="86" spans="1:9" x14ac:dyDescent="0.25">
      <c r="A86" s="8">
        <v>45924</v>
      </c>
      <c r="B86" s="4">
        <v>305071</v>
      </c>
      <c r="C86" s="4" t="s">
        <v>97</v>
      </c>
      <c r="D86" s="8">
        <v>45957</v>
      </c>
      <c r="E86" s="34">
        <v>97.95</v>
      </c>
      <c r="F86" s="34"/>
    </row>
    <row r="87" spans="1:9" x14ac:dyDescent="0.25">
      <c r="A87" s="8">
        <v>45923</v>
      </c>
      <c r="B87" s="4">
        <v>131</v>
      </c>
      <c r="C87" s="4" t="s">
        <v>69</v>
      </c>
      <c r="D87" s="8">
        <v>45957</v>
      </c>
      <c r="E87" s="34">
        <v>945</v>
      </c>
      <c r="F87" s="34"/>
    </row>
    <row r="88" spans="1:9" x14ac:dyDescent="0.25">
      <c r="A88" s="8" t="s">
        <v>411</v>
      </c>
      <c r="B88" s="4">
        <v>424</v>
      </c>
      <c r="C88" s="4" t="s">
        <v>168</v>
      </c>
      <c r="D88" s="8">
        <v>45957</v>
      </c>
      <c r="E88" s="34">
        <v>192</v>
      </c>
      <c r="F88" s="34"/>
    </row>
    <row r="89" spans="1:9" ht="15.75" customHeight="1" x14ac:dyDescent="0.25">
      <c r="A89" s="8">
        <v>45926</v>
      </c>
      <c r="B89" s="4">
        <v>44467</v>
      </c>
      <c r="C89" s="51" t="s">
        <v>36</v>
      </c>
      <c r="D89" s="8">
        <v>45957</v>
      </c>
      <c r="E89" s="34">
        <v>630</v>
      </c>
      <c r="F89" s="34"/>
    </row>
    <row r="90" spans="1:9" ht="15.75" customHeight="1" x14ac:dyDescent="0.25">
      <c r="A90" s="8">
        <v>45926</v>
      </c>
      <c r="B90" s="4">
        <v>3411</v>
      </c>
      <c r="C90" s="4" t="s">
        <v>67</v>
      </c>
      <c r="D90" s="8">
        <v>45957</v>
      </c>
      <c r="E90" s="34">
        <v>111.6</v>
      </c>
      <c r="F90" s="34"/>
    </row>
    <row r="91" spans="1:9" ht="15.75" customHeight="1" x14ac:dyDescent="0.25">
      <c r="A91" s="8">
        <v>45951</v>
      </c>
      <c r="B91" s="41">
        <v>45658</v>
      </c>
      <c r="C91" s="4" t="s">
        <v>412</v>
      </c>
      <c r="D91" s="155">
        <v>45957</v>
      </c>
      <c r="E91" s="34">
        <v>50</v>
      </c>
      <c r="F91" s="34"/>
    </row>
    <row r="92" spans="1:9" ht="15.75" customHeight="1" x14ac:dyDescent="0.25">
      <c r="A92" s="8">
        <v>45951</v>
      </c>
      <c r="B92" s="4">
        <v>18865</v>
      </c>
      <c r="C92" s="4" t="s">
        <v>240</v>
      </c>
      <c r="D92" s="155">
        <v>45958</v>
      </c>
      <c r="E92" s="34">
        <v>522.5</v>
      </c>
      <c r="F92" s="34"/>
      <c r="I92" s="4" t="s">
        <v>414</v>
      </c>
    </row>
    <row r="93" spans="1:9" ht="15.75" customHeight="1" x14ac:dyDescent="0.25">
      <c r="A93" s="8">
        <v>45930</v>
      </c>
      <c r="B93" s="4">
        <v>3441</v>
      </c>
      <c r="C93" s="4" t="s">
        <v>67</v>
      </c>
      <c r="D93" s="155">
        <v>45957</v>
      </c>
      <c r="E93" s="34">
        <v>34.299999999999997</v>
      </c>
      <c r="F93" s="34"/>
    </row>
    <row r="94" spans="1:9" ht="15.75" customHeight="1" x14ac:dyDescent="0.25">
      <c r="A94" s="8">
        <v>45931</v>
      </c>
      <c r="B94" s="4">
        <v>3470</v>
      </c>
      <c r="C94" s="4" t="s">
        <v>67</v>
      </c>
      <c r="D94" s="155">
        <v>45957</v>
      </c>
      <c r="E94" s="34">
        <v>22.05</v>
      </c>
      <c r="F94" s="34"/>
    </row>
    <row r="95" spans="1:9" ht="15.75" customHeight="1" x14ac:dyDescent="0.25">
      <c r="A95" s="8">
        <v>45930</v>
      </c>
      <c r="B95" s="4">
        <v>39116</v>
      </c>
      <c r="C95" s="4" t="s">
        <v>116</v>
      </c>
      <c r="D95" s="155">
        <v>45960</v>
      </c>
      <c r="E95" s="34">
        <v>204</v>
      </c>
      <c r="F95" s="34"/>
    </row>
    <row r="96" spans="1:9" ht="15.75" customHeight="1" x14ac:dyDescent="0.25">
      <c r="A96" s="8">
        <v>45950</v>
      </c>
      <c r="B96" s="4">
        <v>19741</v>
      </c>
      <c r="C96" s="4" t="s">
        <v>72</v>
      </c>
      <c r="D96" s="155">
        <v>45960</v>
      </c>
      <c r="E96" s="34">
        <v>180</v>
      </c>
      <c r="F96" s="34"/>
    </row>
    <row r="97" spans="1:9" ht="15.75" customHeight="1" x14ac:dyDescent="0.25">
      <c r="A97" s="8">
        <v>45950</v>
      </c>
      <c r="B97" s="47" t="s">
        <v>415</v>
      </c>
      <c r="C97" s="4" t="s">
        <v>416</v>
      </c>
      <c r="D97" s="155">
        <v>45960</v>
      </c>
      <c r="E97" s="34">
        <v>27</v>
      </c>
      <c r="F97" s="34"/>
    </row>
    <row r="98" spans="1:9" ht="15.75" customHeight="1" x14ac:dyDescent="0.25">
      <c r="A98" s="8">
        <v>45931</v>
      </c>
      <c r="B98" s="4">
        <v>33853</v>
      </c>
      <c r="C98" s="4" t="s">
        <v>37</v>
      </c>
      <c r="D98" s="155">
        <v>45961</v>
      </c>
      <c r="E98" s="34">
        <v>213.75</v>
      </c>
      <c r="F98" s="34"/>
      <c r="I98" s="4" t="s">
        <v>417</v>
      </c>
    </row>
    <row r="99" spans="1:9" ht="15.75" customHeight="1" x14ac:dyDescent="0.25">
      <c r="A99" s="164">
        <v>45961</v>
      </c>
      <c r="B99" s="165">
        <v>45690</v>
      </c>
      <c r="C99" s="61" t="s">
        <v>422</v>
      </c>
      <c r="D99" s="166" t="s">
        <v>423</v>
      </c>
      <c r="E99" s="167"/>
      <c r="F99" s="167"/>
      <c r="G99" s="53"/>
      <c r="H99" s="169">
        <v>6624.65</v>
      </c>
    </row>
    <row r="100" spans="1:9" ht="15.75" customHeight="1" x14ac:dyDescent="0.25">
      <c r="E100" s="33"/>
      <c r="F100" s="33"/>
    </row>
    <row r="101" spans="1:9" ht="15.75" customHeight="1" x14ac:dyDescent="0.25">
      <c r="E101" s="33"/>
      <c r="F101" s="33"/>
    </row>
    <row r="102" spans="1:9" ht="15.75" customHeight="1" x14ac:dyDescent="0.25">
      <c r="E102" s="33"/>
      <c r="F102" s="33"/>
    </row>
    <row r="103" spans="1:9" ht="15.75" customHeight="1" x14ac:dyDescent="0.25">
      <c r="E103" s="33"/>
      <c r="F103" s="33"/>
    </row>
    <row r="104" spans="1:9" ht="15.75" customHeight="1" x14ac:dyDescent="0.25">
      <c r="E104" s="33"/>
      <c r="F104" s="33"/>
    </row>
    <row r="105" spans="1:9" ht="15.75" customHeight="1" x14ac:dyDescent="0.25">
      <c r="E105" s="33"/>
      <c r="F105" s="33"/>
    </row>
    <row r="106" spans="1:9" ht="15.75" customHeight="1" x14ac:dyDescent="0.25">
      <c r="E106" s="33"/>
      <c r="F106" s="33"/>
    </row>
    <row r="107" spans="1:9" ht="15.75" customHeight="1" x14ac:dyDescent="0.25">
      <c r="E107" s="33"/>
      <c r="F107" s="33"/>
    </row>
    <row r="108" spans="1:9" ht="15.75" customHeight="1" x14ac:dyDescent="0.25">
      <c r="E108" s="33"/>
      <c r="F108" s="33"/>
    </row>
    <row r="109" spans="1:9" ht="15.75" customHeight="1" x14ac:dyDescent="0.25">
      <c r="E109" s="33"/>
      <c r="F109" s="33"/>
    </row>
    <row r="110" spans="1:9" ht="15.75" customHeight="1" x14ac:dyDescent="0.25">
      <c r="E110" s="33"/>
      <c r="F110" s="33"/>
    </row>
    <row r="111" spans="1:9" ht="15.75" customHeight="1" x14ac:dyDescent="0.25">
      <c r="E111" s="33"/>
      <c r="F111" s="33"/>
    </row>
    <row r="112" spans="1:9" ht="15.75" customHeight="1" x14ac:dyDescent="0.25">
      <c r="E112" s="33"/>
      <c r="F112" s="33"/>
    </row>
    <row r="113" spans="5:6" ht="15.75" customHeight="1" x14ac:dyDescent="0.25">
      <c r="E113" s="33"/>
      <c r="F113" s="33"/>
    </row>
    <row r="114" spans="5:6" ht="15.75" customHeight="1" x14ac:dyDescent="0.25">
      <c r="E114" s="33"/>
      <c r="F114" s="33"/>
    </row>
    <row r="115" spans="5:6" ht="15.75" customHeight="1" x14ac:dyDescent="0.25">
      <c r="E115" s="33"/>
      <c r="F115" s="33"/>
    </row>
    <row r="116" spans="5:6" ht="15.75" customHeight="1" x14ac:dyDescent="0.25">
      <c r="E116" s="33"/>
      <c r="F116" s="33"/>
    </row>
    <row r="117" spans="5:6" ht="15.75" customHeight="1" x14ac:dyDescent="0.25">
      <c r="E117" s="33"/>
      <c r="F117" s="33"/>
    </row>
    <row r="118" spans="5:6" ht="15.75" customHeight="1" x14ac:dyDescent="0.25">
      <c r="E118" s="33"/>
      <c r="F118" s="33"/>
    </row>
    <row r="119" spans="5:6" ht="15.75" customHeight="1" x14ac:dyDescent="0.25">
      <c r="E119" s="33"/>
      <c r="F119" s="33"/>
    </row>
    <row r="120" spans="5:6" ht="15.75" customHeight="1" x14ac:dyDescent="0.25">
      <c r="E120" s="33"/>
      <c r="F120" s="33"/>
    </row>
    <row r="121" spans="5:6" ht="15.75" customHeight="1" x14ac:dyDescent="0.25">
      <c r="E121" s="33"/>
      <c r="F121" s="33"/>
    </row>
    <row r="122" spans="5:6" ht="15.75" customHeight="1" x14ac:dyDescent="0.25">
      <c r="E122" s="33"/>
      <c r="F122" s="33"/>
    </row>
    <row r="123" spans="5:6" ht="15.75" customHeight="1" x14ac:dyDescent="0.25">
      <c r="E123" s="33"/>
      <c r="F123" s="33"/>
    </row>
    <row r="124" spans="5:6" ht="15.75" customHeight="1" x14ac:dyDescent="0.25">
      <c r="E124" s="33"/>
      <c r="F124" s="33"/>
    </row>
    <row r="125" spans="5:6" ht="15.75" customHeight="1" x14ac:dyDescent="0.25">
      <c r="E125" s="33"/>
      <c r="F125" s="33"/>
    </row>
    <row r="126" spans="5:6" ht="15.75" customHeight="1" x14ac:dyDescent="0.25">
      <c r="E126" s="33"/>
      <c r="F126" s="33"/>
    </row>
    <row r="127" spans="5:6" ht="15.75" customHeight="1" x14ac:dyDescent="0.25">
      <c r="E127" s="33"/>
      <c r="F127" s="33"/>
    </row>
    <row r="128" spans="5:6" ht="15.75" customHeight="1" x14ac:dyDescent="0.25">
      <c r="E128" s="33"/>
      <c r="F128" s="33"/>
    </row>
    <row r="129" spans="1:9" ht="15.75" customHeight="1" x14ac:dyDescent="0.25">
      <c r="E129" s="33"/>
      <c r="F129" s="33"/>
    </row>
    <row r="130" spans="1:9" ht="15.75" customHeight="1" x14ac:dyDescent="0.25">
      <c r="E130" s="33"/>
      <c r="F130" s="33"/>
    </row>
    <row r="131" spans="1:9" ht="15.75" customHeight="1" x14ac:dyDescent="0.25">
      <c r="E131" s="33"/>
      <c r="F131" s="33"/>
    </row>
    <row r="132" spans="1:9" ht="15.75" customHeight="1" x14ac:dyDescent="0.25">
      <c r="E132" s="33"/>
      <c r="F132" s="33"/>
    </row>
    <row r="133" spans="1:9" ht="15.75" customHeight="1" x14ac:dyDescent="0.25">
      <c r="E133" s="33"/>
      <c r="F133" s="33"/>
    </row>
    <row r="134" spans="1:9" ht="15.75" customHeight="1" x14ac:dyDescent="0.25">
      <c r="E134" s="33"/>
      <c r="F134" s="33"/>
    </row>
    <row r="135" spans="1:9" ht="15.75" customHeight="1" x14ac:dyDescent="0.25">
      <c r="E135" s="33"/>
      <c r="F135" s="33"/>
    </row>
    <row r="136" spans="1:9" ht="15.75" customHeight="1" x14ac:dyDescent="0.25">
      <c r="A136" s="8"/>
      <c r="B136" s="81"/>
      <c r="C136" s="51"/>
      <c r="D136" s="8"/>
      <c r="E136" s="33"/>
      <c r="F136" s="34"/>
    </row>
    <row r="137" spans="1:9" ht="15.75" customHeight="1" x14ac:dyDescent="0.25">
      <c r="E137" s="33"/>
    </row>
    <row r="138" spans="1:9" ht="15.75" customHeight="1" x14ac:dyDescent="0.25">
      <c r="E138" s="33"/>
    </row>
    <row r="139" spans="1:9" ht="15.75" customHeight="1" x14ac:dyDescent="0.25">
      <c r="E139" s="33"/>
    </row>
    <row r="140" spans="1:9" ht="15.75" customHeight="1" x14ac:dyDescent="0.25">
      <c r="E140" s="33"/>
    </row>
    <row r="141" spans="1:9" ht="15.75" customHeight="1" x14ac:dyDescent="0.25">
      <c r="E141" s="33"/>
    </row>
    <row r="142" spans="1:9" ht="15.75" customHeight="1" x14ac:dyDescent="0.25">
      <c r="E142" s="33"/>
    </row>
    <row r="143" spans="1:9" ht="15.75" customHeight="1" x14ac:dyDescent="0.25">
      <c r="C143" s="4"/>
      <c r="D143" s="54"/>
      <c r="E143" s="33"/>
      <c r="F143" s="34"/>
      <c r="H143" s="154"/>
      <c r="I143" s="163"/>
    </row>
    <row r="144" spans="1:9" ht="15.75" customHeight="1" x14ac:dyDescent="0.25">
      <c r="C144" s="4"/>
      <c r="D144" s="8"/>
      <c r="E144" s="33"/>
      <c r="F144" s="34"/>
    </row>
    <row r="145" spans="3:6" ht="15.75" customHeight="1" x14ac:dyDescent="0.25">
      <c r="C145" s="4"/>
      <c r="D145" s="54"/>
      <c r="E145" s="85"/>
      <c r="F145" s="85"/>
    </row>
    <row r="146" spans="3:6" ht="15.75" customHeight="1" x14ac:dyDescent="0.25">
      <c r="C146" s="4"/>
      <c r="E146" s="33"/>
      <c r="F146" s="34"/>
    </row>
    <row r="147" spans="3:6" ht="15.75" customHeight="1" x14ac:dyDescent="0.25">
      <c r="C147" s="4"/>
      <c r="D147" s="8"/>
      <c r="E147" s="33"/>
      <c r="F147" s="34"/>
    </row>
    <row r="148" spans="3:6" ht="15.75" customHeight="1" x14ac:dyDescent="0.25">
      <c r="C148" s="4"/>
      <c r="E148" s="33"/>
      <c r="F148" s="34"/>
    </row>
    <row r="149" spans="3:6" ht="15.75" customHeight="1" x14ac:dyDescent="0.25">
      <c r="C149" s="4"/>
      <c r="E149" s="33"/>
      <c r="F149" s="34"/>
    </row>
    <row r="150" spans="3:6" ht="15.75" customHeight="1" x14ac:dyDescent="0.25">
      <c r="C150" s="4" t="s">
        <v>385</v>
      </c>
      <c r="E150" s="33"/>
      <c r="F150" s="34">
        <v>150</v>
      </c>
    </row>
    <row r="151" spans="3:6" ht="15.75" customHeight="1" x14ac:dyDescent="0.25">
      <c r="C151" s="4"/>
      <c r="D151" s="8"/>
      <c r="E151" s="33"/>
      <c r="F151" s="34"/>
    </row>
    <row r="152" spans="3:6" ht="15.75" customHeight="1" x14ac:dyDescent="0.25">
      <c r="C152" s="4" t="s">
        <v>430</v>
      </c>
      <c r="E152" s="33"/>
      <c r="F152" s="34">
        <v>4500</v>
      </c>
    </row>
    <row r="153" spans="3:6" ht="15.75" customHeight="1" x14ac:dyDescent="0.25">
      <c r="C153" s="4" t="s">
        <v>432</v>
      </c>
      <c r="E153" s="33"/>
      <c r="F153" s="34">
        <v>5500</v>
      </c>
    </row>
    <row r="154" spans="3:6" ht="15.75" customHeight="1" x14ac:dyDescent="0.25">
      <c r="C154" s="4" t="s">
        <v>322</v>
      </c>
      <c r="E154" s="34"/>
      <c r="F154" s="34">
        <v>208.75</v>
      </c>
    </row>
    <row r="155" spans="3:6" ht="15.75" customHeight="1" x14ac:dyDescent="0.25">
      <c r="C155" s="4" t="s">
        <v>323</v>
      </c>
      <c r="E155" s="33"/>
      <c r="F155" s="34">
        <v>5.05</v>
      </c>
    </row>
    <row r="156" spans="3:6" ht="15.75" customHeight="1" x14ac:dyDescent="0.25">
      <c r="C156" s="4" t="s">
        <v>324</v>
      </c>
      <c r="D156" s="8">
        <v>45925</v>
      </c>
      <c r="E156" s="133"/>
      <c r="F156" s="34">
        <v>97</v>
      </c>
    </row>
    <row r="157" spans="3:6" ht="15.75" customHeight="1" x14ac:dyDescent="0.25">
      <c r="E157" s="33"/>
    </row>
    <row r="158" spans="3:6" ht="15.75" customHeight="1" x14ac:dyDescent="0.25">
      <c r="E158" s="33"/>
    </row>
    <row r="159" spans="3:6" ht="15.75" customHeight="1" x14ac:dyDescent="0.25">
      <c r="E159" s="33"/>
    </row>
    <row r="160" spans="3:6" ht="15.75" customHeight="1" x14ac:dyDescent="0.25"/>
    <row r="161" spans="5:8" ht="15.75" customHeight="1" x14ac:dyDescent="0.25"/>
    <row r="162" spans="5:8" ht="15.75" customHeight="1" x14ac:dyDescent="0.25">
      <c r="H162" s="171">
        <f>SUM(H2:H161)</f>
        <v>29288.67</v>
      </c>
    </row>
    <row r="163" spans="5:8" ht="15.75" customHeight="1" x14ac:dyDescent="0.25">
      <c r="E163" s="133">
        <f t="shared" ref="E163:F163" si="0">SUM(E2:E162)</f>
        <v>45410.350000000006</v>
      </c>
      <c r="F163" s="133">
        <f t="shared" si="0"/>
        <v>15460.8</v>
      </c>
    </row>
    <row r="164" spans="5:8" ht="15.75" customHeight="1" x14ac:dyDescent="0.25"/>
    <row r="165" spans="5:8" ht="15.75" customHeight="1" x14ac:dyDescent="0.25"/>
    <row r="166" spans="5:8" ht="15.75" customHeight="1" x14ac:dyDescent="0.25"/>
    <row r="167" spans="5:8" ht="15.75" customHeight="1" x14ac:dyDescent="0.25"/>
    <row r="168" spans="5:8" ht="15.75" customHeight="1" x14ac:dyDescent="0.25"/>
    <row r="169" spans="5:8" ht="15.75" customHeight="1" x14ac:dyDescent="0.25"/>
    <row r="170" spans="5:8" ht="15.75" customHeight="1" x14ac:dyDescent="0.25"/>
    <row r="171" spans="5:8" ht="15.75" customHeight="1" x14ac:dyDescent="0.25"/>
    <row r="172" spans="5:8" ht="15.75" customHeight="1" x14ac:dyDescent="0.25"/>
    <row r="173" spans="5:8" ht="15.75" customHeight="1" x14ac:dyDescent="0.25"/>
    <row r="174" spans="5:8" ht="15.75" customHeight="1" x14ac:dyDescent="0.25"/>
    <row r="175" spans="5:8" ht="15.75" customHeight="1" x14ac:dyDescent="0.25"/>
    <row r="176" spans="5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58"/>
  <sheetViews>
    <sheetView workbookViewId="0"/>
  </sheetViews>
  <sheetFormatPr defaultColWidth="12.5703125" defaultRowHeight="15" customHeight="1" x14ac:dyDescent="0.25"/>
  <cols>
    <col min="1" max="1" width="18" customWidth="1"/>
    <col min="2" max="2" width="16.140625" customWidth="1"/>
    <col min="3" max="3" width="26.85546875" customWidth="1"/>
    <col min="4" max="4" width="13.42578125" customWidth="1"/>
    <col min="5" max="5" width="16.85546875" customWidth="1"/>
    <col min="6" max="6" width="15.7109375" customWidth="1"/>
    <col min="7" max="7" width="19.5703125" customWidth="1"/>
    <col min="8" max="8" width="15.5703125" customWidth="1"/>
    <col min="9" max="9" width="20.42578125" customWidth="1"/>
    <col min="10" max="26" width="8.5703125" customWidth="1"/>
  </cols>
  <sheetData>
    <row r="1" spans="1:10" x14ac:dyDescent="0.25">
      <c r="A1" s="7" t="s">
        <v>397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10" x14ac:dyDescent="0.25">
      <c r="A2" s="17">
        <v>45962</v>
      </c>
      <c r="B2" s="22">
        <v>1</v>
      </c>
      <c r="C2" s="23" t="s">
        <v>77</v>
      </c>
      <c r="D2" s="9"/>
      <c r="E2" s="84"/>
      <c r="F2" s="150"/>
      <c r="G2" s="4"/>
      <c r="H2" s="38">
        <v>11681.06</v>
      </c>
    </row>
    <row r="3" spans="1:10" x14ac:dyDescent="0.25">
      <c r="A3" s="17">
        <v>45962</v>
      </c>
      <c r="B3" s="32">
        <v>2</v>
      </c>
      <c r="C3" s="32" t="s">
        <v>259</v>
      </c>
      <c r="D3" s="29"/>
      <c r="E3" s="38"/>
      <c r="F3" s="38"/>
      <c r="G3" s="82"/>
      <c r="H3" s="38">
        <v>1</v>
      </c>
    </row>
    <row r="4" spans="1:10" x14ac:dyDescent="0.25">
      <c r="A4" s="8">
        <v>45901</v>
      </c>
      <c r="B4" s="47" t="s">
        <v>403</v>
      </c>
      <c r="C4" s="51" t="s">
        <v>148</v>
      </c>
      <c r="D4" s="8">
        <v>45962</v>
      </c>
      <c r="E4" s="34">
        <v>232</v>
      </c>
      <c r="F4" s="34"/>
      <c r="G4" s="1"/>
      <c r="H4" s="1"/>
    </row>
    <row r="5" spans="1:10" x14ac:dyDescent="0.25">
      <c r="A5" s="158">
        <v>45951</v>
      </c>
      <c r="B5" s="154">
        <v>18865</v>
      </c>
      <c r="C5" s="154" t="s">
        <v>240</v>
      </c>
      <c r="D5" s="160">
        <v>45967</v>
      </c>
      <c r="E5" s="115">
        <v>522</v>
      </c>
      <c r="F5" s="115"/>
      <c r="G5" s="1"/>
      <c r="H5" s="1"/>
    </row>
    <row r="6" spans="1:10" x14ac:dyDescent="0.25">
      <c r="A6" s="8">
        <v>45967</v>
      </c>
      <c r="B6" s="4">
        <v>22921</v>
      </c>
      <c r="C6" s="4" t="s">
        <v>89</v>
      </c>
      <c r="D6" s="8">
        <v>45974</v>
      </c>
      <c r="E6" s="34">
        <v>320</v>
      </c>
      <c r="F6" s="34"/>
      <c r="G6" s="1"/>
      <c r="H6" s="1"/>
    </row>
    <row r="7" spans="1:10" x14ac:dyDescent="0.25">
      <c r="A7" s="8">
        <v>45933</v>
      </c>
      <c r="B7" s="4">
        <v>34018</v>
      </c>
      <c r="C7" s="4" t="s">
        <v>37</v>
      </c>
      <c r="D7" s="8">
        <v>45963</v>
      </c>
      <c r="E7" s="34">
        <v>640.5</v>
      </c>
      <c r="F7" s="34"/>
      <c r="G7" s="1"/>
      <c r="H7" s="1"/>
    </row>
    <row r="8" spans="1:10" x14ac:dyDescent="0.25">
      <c r="A8" s="8">
        <v>45933</v>
      </c>
      <c r="B8" s="4">
        <v>22868</v>
      </c>
      <c r="C8" s="51" t="s">
        <v>89</v>
      </c>
      <c r="D8" s="8">
        <v>45964</v>
      </c>
      <c r="E8" s="34">
        <v>250.74</v>
      </c>
      <c r="F8" s="34"/>
      <c r="G8" s="1"/>
      <c r="H8" s="1"/>
    </row>
    <row r="9" spans="1:10" x14ac:dyDescent="0.25">
      <c r="A9" s="8">
        <v>45936</v>
      </c>
      <c r="B9" s="4">
        <v>3512</v>
      </c>
      <c r="C9" s="51" t="s">
        <v>67</v>
      </c>
      <c r="D9" s="8">
        <v>45966</v>
      </c>
      <c r="E9" s="34">
        <v>107.6</v>
      </c>
      <c r="F9" s="34"/>
      <c r="G9" s="1"/>
      <c r="H9" s="1"/>
    </row>
    <row r="10" spans="1:10" x14ac:dyDescent="0.25">
      <c r="A10" s="8">
        <v>45966</v>
      </c>
      <c r="B10" s="140">
        <v>45931</v>
      </c>
      <c r="C10" s="4" t="s">
        <v>410</v>
      </c>
      <c r="D10" s="54">
        <v>45966</v>
      </c>
      <c r="E10" s="34">
        <v>1456.77</v>
      </c>
      <c r="F10" s="34"/>
      <c r="G10" s="1"/>
      <c r="H10" s="1"/>
      <c r="I10" s="154"/>
      <c r="J10" s="163"/>
    </row>
    <row r="11" spans="1:10" x14ac:dyDescent="0.25">
      <c r="A11" s="8"/>
      <c r="B11" s="4"/>
      <c r="C11" s="4" t="s">
        <v>350</v>
      </c>
      <c r="D11" s="54">
        <v>45967</v>
      </c>
      <c r="E11" s="34">
        <v>12000</v>
      </c>
      <c r="F11" s="34"/>
      <c r="G11" s="1"/>
      <c r="H11" s="1"/>
      <c r="I11" s="154" t="s">
        <v>389</v>
      </c>
      <c r="J11" s="163"/>
    </row>
    <row r="12" spans="1:10" x14ac:dyDescent="0.25">
      <c r="A12" s="8"/>
      <c r="B12" s="4"/>
      <c r="C12" s="4" t="s">
        <v>245</v>
      </c>
      <c r="D12" s="54">
        <v>45967</v>
      </c>
      <c r="E12" s="85">
        <v>800</v>
      </c>
      <c r="F12" s="85"/>
      <c r="G12" s="1"/>
      <c r="H12" s="1"/>
    </row>
    <row r="13" spans="1:10" x14ac:dyDescent="0.25">
      <c r="A13" s="8"/>
      <c r="B13" s="4"/>
      <c r="C13" s="4" t="s">
        <v>262</v>
      </c>
      <c r="D13" s="54">
        <v>45967</v>
      </c>
      <c r="E13" s="34">
        <v>550</v>
      </c>
      <c r="F13" s="34"/>
      <c r="G13" s="1"/>
      <c r="H13" s="1"/>
    </row>
    <row r="14" spans="1:10" x14ac:dyDescent="0.25">
      <c r="A14" s="8"/>
      <c r="B14" s="4"/>
      <c r="C14" s="4" t="s">
        <v>391</v>
      </c>
      <c r="D14" s="8">
        <v>45967</v>
      </c>
      <c r="E14" s="34">
        <v>957.62</v>
      </c>
      <c r="F14" s="34"/>
      <c r="G14" s="1"/>
      <c r="H14" s="1"/>
    </row>
    <row r="15" spans="1:10" x14ac:dyDescent="0.25">
      <c r="A15" s="8">
        <v>45936</v>
      </c>
      <c r="B15" s="4">
        <v>44655</v>
      </c>
      <c r="C15" s="51" t="s">
        <v>413</v>
      </c>
      <c r="D15" s="8">
        <v>45967</v>
      </c>
      <c r="E15" s="34">
        <v>400</v>
      </c>
      <c r="F15" s="34"/>
      <c r="G15" s="1"/>
      <c r="H15" s="1"/>
    </row>
    <row r="16" spans="1:10" x14ac:dyDescent="0.25">
      <c r="A16" s="8">
        <v>45937</v>
      </c>
      <c r="B16" s="4">
        <v>3544</v>
      </c>
      <c r="C16" s="51" t="s">
        <v>67</v>
      </c>
      <c r="D16" s="8">
        <v>45967</v>
      </c>
      <c r="E16" s="34">
        <v>191.4</v>
      </c>
      <c r="F16" s="34"/>
      <c r="G16" s="1"/>
      <c r="H16" s="1"/>
    </row>
    <row r="17" spans="1:9" x14ac:dyDescent="0.25">
      <c r="A17" s="8">
        <v>45937</v>
      </c>
      <c r="B17" s="4">
        <v>2459</v>
      </c>
      <c r="C17" s="51" t="s">
        <v>358</v>
      </c>
      <c r="D17" s="8">
        <v>45968</v>
      </c>
      <c r="E17" s="34">
        <v>314.39999999999998</v>
      </c>
      <c r="F17" s="34"/>
      <c r="G17" s="1"/>
      <c r="H17" s="1"/>
    </row>
    <row r="18" spans="1:9" x14ac:dyDescent="0.25">
      <c r="A18" s="8">
        <v>45937</v>
      </c>
      <c r="B18" s="4">
        <v>2460</v>
      </c>
      <c r="C18" s="51" t="s">
        <v>358</v>
      </c>
      <c r="D18" s="8" t="s">
        <v>418</v>
      </c>
      <c r="E18" s="34" t="s">
        <v>419</v>
      </c>
      <c r="F18" s="34"/>
      <c r="G18" s="1"/>
      <c r="H18" s="1"/>
      <c r="I18" s="4" t="s">
        <v>421</v>
      </c>
    </row>
    <row r="19" spans="1:9" x14ac:dyDescent="0.25">
      <c r="A19" s="8">
        <v>45937</v>
      </c>
      <c r="B19" s="4">
        <v>25245</v>
      </c>
      <c r="C19" s="51" t="s">
        <v>193</v>
      </c>
      <c r="D19" s="8">
        <v>45937</v>
      </c>
      <c r="E19" s="34">
        <v>281.89999999999998</v>
      </c>
      <c r="F19" s="34"/>
      <c r="G19" s="1"/>
      <c r="H19" s="1"/>
    </row>
    <row r="20" spans="1:9" x14ac:dyDescent="0.25">
      <c r="A20" s="8">
        <v>45938</v>
      </c>
      <c r="B20" s="4">
        <v>34309</v>
      </c>
      <c r="C20" s="51" t="s">
        <v>37</v>
      </c>
      <c r="D20" s="8">
        <v>45938</v>
      </c>
      <c r="E20" s="34">
        <v>14</v>
      </c>
      <c r="F20" s="34"/>
      <c r="G20" s="1"/>
      <c r="H20" s="1"/>
    </row>
    <row r="21" spans="1:9" x14ac:dyDescent="0.25">
      <c r="A21" s="8">
        <v>45939</v>
      </c>
      <c r="B21" s="4">
        <v>3572</v>
      </c>
      <c r="C21" s="51" t="s">
        <v>67</v>
      </c>
      <c r="D21" s="8">
        <v>45969</v>
      </c>
      <c r="E21" s="34">
        <v>115.6</v>
      </c>
      <c r="F21" s="34"/>
      <c r="G21" s="1"/>
      <c r="H21" s="1"/>
    </row>
    <row r="22" spans="1:9" x14ac:dyDescent="0.25">
      <c r="A22" s="8">
        <v>45939</v>
      </c>
      <c r="B22" s="4">
        <v>209410</v>
      </c>
      <c r="C22" s="51" t="s">
        <v>382</v>
      </c>
      <c r="D22" s="8">
        <v>45969</v>
      </c>
      <c r="E22" s="34">
        <v>270.39999999999998</v>
      </c>
      <c r="F22" s="34"/>
      <c r="G22" s="1"/>
      <c r="H22" s="1"/>
    </row>
    <row r="23" spans="1:9" x14ac:dyDescent="0.25">
      <c r="A23" s="8">
        <v>45939</v>
      </c>
      <c r="B23" s="4">
        <v>18204</v>
      </c>
      <c r="C23" s="51" t="s">
        <v>121</v>
      </c>
      <c r="D23" s="8">
        <v>45970</v>
      </c>
      <c r="E23" s="34">
        <v>96.25</v>
      </c>
      <c r="F23" s="34"/>
      <c r="G23" s="1"/>
      <c r="H23" s="1"/>
    </row>
    <row r="24" spans="1:9" x14ac:dyDescent="0.25">
      <c r="A24" s="8">
        <v>45939</v>
      </c>
      <c r="B24" s="4">
        <v>25307</v>
      </c>
      <c r="C24" s="51" t="s">
        <v>193</v>
      </c>
      <c r="D24" s="8">
        <v>45970</v>
      </c>
      <c r="E24" s="34">
        <v>215.75</v>
      </c>
      <c r="F24" s="34"/>
      <c r="G24" s="1"/>
      <c r="H24" s="1"/>
    </row>
    <row r="25" spans="1:9" x14ac:dyDescent="0.25">
      <c r="A25" s="8">
        <v>45940</v>
      </c>
      <c r="B25" s="4">
        <v>34474</v>
      </c>
      <c r="C25" s="51" t="s">
        <v>37</v>
      </c>
      <c r="D25" s="8">
        <v>45970</v>
      </c>
      <c r="E25" s="34">
        <v>327</v>
      </c>
      <c r="F25" s="34"/>
      <c r="G25" s="1"/>
      <c r="H25" s="1"/>
    </row>
    <row r="26" spans="1:9" x14ac:dyDescent="0.25">
      <c r="A26" s="8"/>
      <c r="B26" s="81">
        <v>45931</v>
      </c>
      <c r="C26" s="51" t="s">
        <v>299</v>
      </c>
      <c r="D26" s="8">
        <v>45971</v>
      </c>
      <c r="E26" s="34">
        <v>185</v>
      </c>
      <c r="F26" s="34"/>
      <c r="G26" s="1"/>
      <c r="H26" s="1"/>
    </row>
    <row r="27" spans="1:9" x14ac:dyDescent="0.25">
      <c r="A27" s="8"/>
      <c r="B27" s="81">
        <v>45931</v>
      </c>
      <c r="C27" s="51" t="s">
        <v>258</v>
      </c>
      <c r="D27" s="8">
        <v>45971</v>
      </c>
      <c r="E27" s="34">
        <v>110</v>
      </c>
      <c r="F27" s="34"/>
      <c r="G27" s="1"/>
      <c r="H27" s="1"/>
    </row>
    <row r="28" spans="1:9" x14ac:dyDescent="0.25">
      <c r="A28" s="8">
        <v>45940</v>
      </c>
      <c r="B28" s="4">
        <v>66833</v>
      </c>
      <c r="C28" s="119" t="s">
        <v>125</v>
      </c>
      <c r="D28" s="117">
        <v>45971</v>
      </c>
      <c r="E28" s="124">
        <v>61.32</v>
      </c>
      <c r="F28" s="124"/>
      <c r="G28" s="1"/>
      <c r="H28" s="1"/>
    </row>
    <row r="29" spans="1:9" x14ac:dyDescent="0.25">
      <c r="A29" s="8">
        <v>45945</v>
      </c>
      <c r="B29" s="4">
        <v>66865</v>
      </c>
      <c r="C29" s="119" t="s">
        <v>125</v>
      </c>
      <c r="D29" s="117">
        <v>45971</v>
      </c>
      <c r="E29" s="124">
        <v>31.87</v>
      </c>
      <c r="F29" s="124"/>
      <c r="G29" s="1"/>
      <c r="H29" s="1"/>
    </row>
    <row r="30" spans="1:9" x14ac:dyDescent="0.25">
      <c r="A30" s="8"/>
      <c r="B30" s="81"/>
      <c r="C30" s="4"/>
      <c r="D30" s="8"/>
      <c r="E30" s="33"/>
      <c r="F30" s="34"/>
      <c r="G30" s="1"/>
      <c r="H30" s="1"/>
    </row>
    <row r="31" spans="1:9" x14ac:dyDescent="0.25">
      <c r="A31" s="8">
        <v>45943</v>
      </c>
      <c r="B31" s="140">
        <v>45931</v>
      </c>
      <c r="C31" s="4" t="s">
        <v>163</v>
      </c>
      <c r="D31" s="8">
        <v>45974</v>
      </c>
      <c r="E31" s="34">
        <v>66.88</v>
      </c>
      <c r="F31" s="34"/>
      <c r="G31" s="1"/>
      <c r="H31" s="1"/>
    </row>
    <row r="32" spans="1:9" x14ac:dyDescent="0.25">
      <c r="A32" s="8">
        <v>45943</v>
      </c>
      <c r="B32" s="4">
        <v>23161</v>
      </c>
      <c r="C32" s="4" t="s">
        <v>89</v>
      </c>
      <c r="D32" s="8">
        <v>45974</v>
      </c>
      <c r="E32" s="34">
        <v>314.95</v>
      </c>
      <c r="F32" s="34"/>
      <c r="G32" s="1"/>
      <c r="H32" s="1"/>
    </row>
    <row r="33" spans="1:8" x14ac:dyDescent="0.25">
      <c r="A33" s="8">
        <v>45943</v>
      </c>
      <c r="B33" s="4">
        <v>209519</v>
      </c>
      <c r="C33" s="4" t="s">
        <v>382</v>
      </c>
      <c r="D33" s="8">
        <v>45974</v>
      </c>
      <c r="E33" s="34">
        <v>130</v>
      </c>
      <c r="F33" s="34"/>
      <c r="G33" s="1"/>
      <c r="H33" s="1"/>
    </row>
    <row r="34" spans="1:8" x14ac:dyDescent="0.25">
      <c r="A34" s="8">
        <v>45943</v>
      </c>
      <c r="B34" s="4">
        <v>25327</v>
      </c>
      <c r="C34" s="4" t="s">
        <v>193</v>
      </c>
      <c r="D34" s="8">
        <v>45974</v>
      </c>
      <c r="E34" s="34">
        <v>658.45</v>
      </c>
      <c r="F34" s="34"/>
      <c r="G34" s="1"/>
      <c r="H34" s="1"/>
    </row>
    <row r="35" spans="1:8" x14ac:dyDescent="0.25">
      <c r="A35" s="8"/>
      <c r="B35" s="81"/>
      <c r="C35" s="4" t="s">
        <v>316</v>
      </c>
      <c r="D35" s="8">
        <v>45974</v>
      </c>
      <c r="E35" s="34">
        <v>99.99</v>
      </c>
      <c r="F35" s="34"/>
      <c r="G35" s="1"/>
      <c r="H35" s="1"/>
    </row>
    <row r="36" spans="1:8" x14ac:dyDescent="0.25">
      <c r="A36" s="8">
        <v>45945</v>
      </c>
      <c r="B36" s="4">
        <v>505</v>
      </c>
      <c r="C36" s="4" t="s">
        <v>168</v>
      </c>
      <c r="D36" s="8">
        <v>45976</v>
      </c>
      <c r="E36" s="34">
        <v>840</v>
      </c>
      <c r="F36" s="34"/>
      <c r="G36" s="1"/>
      <c r="H36" s="1"/>
    </row>
    <row r="37" spans="1:8" x14ac:dyDescent="0.25">
      <c r="A37" s="8">
        <v>45945</v>
      </c>
      <c r="B37" s="4">
        <v>129</v>
      </c>
      <c r="C37" s="4" t="s">
        <v>261</v>
      </c>
      <c r="D37" s="8">
        <v>45976</v>
      </c>
      <c r="E37" s="34">
        <v>2670</v>
      </c>
      <c r="F37" s="34"/>
      <c r="G37" s="1"/>
      <c r="H37" s="1"/>
    </row>
    <row r="38" spans="1:8" x14ac:dyDescent="0.25">
      <c r="A38" s="8">
        <v>45946</v>
      </c>
      <c r="B38" s="4">
        <v>209608</v>
      </c>
      <c r="C38" s="4" t="s">
        <v>382</v>
      </c>
      <c r="D38" s="8">
        <v>45976</v>
      </c>
      <c r="E38" s="34">
        <v>100.8</v>
      </c>
      <c r="F38" s="34"/>
      <c r="G38" s="1"/>
      <c r="H38" s="1"/>
    </row>
    <row r="39" spans="1:8" x14ac:dyDescent="0.25">
      <c r="A39" s="8">
        <v>45947</v>
      </c>
      <c r="B39" s="4">
        <v>34907</v>
      </c>
      <c r="C39" s="4" t="s">
        <v>37</v>
      </c>
      <c r="D39" s="8">
        <v>45977</v>
      </c>
      <c r="E39" s="34">
        <v>225</v>
      </c>
      <c r="F39" s="34"/>
      <c r="G39" s="1"/>
      <c r="H39" s="1"/>
    </row>
    <row r="40" spans="1:8" x14ac:dyDescent="0.25">
      <c r="A40" s="8">
        <v>45951</v>
      </c>
      <c r="B40" s="47" t="s">
        <v>433</v>
      </c>
      <c r="C40" s="4" t="s">
        <v>96</v>
      </c>
      <c r="D40" s="8">
        <v>45978</v>
      </c>
      <c r="E40" s="34">
        <v>355</v>
      </c>
      <c r="F40" s="34"/>
      <c r="G40" s="1"/>
      <c r="H40" s="1"/>
    </row>
    <row r="41" spans="1:8" x14ac:dyDescent="0.25">
      <c r="A41" s="8"/>
      <c r="B41" s="81"/>
      <c r="C41" s="4" t="s">
        <v>431</v>
      </c>
      <c r="D41" s="8">
        <v>45980</v>
      </c>
      <c r="E41" s="34" t="s">
        <v>436</v>
      </c>
      <c r="F41" s="34"/>
      <c r="G41" s="1"/>
      <c r="H41" s="1"/>
    </row>
    <row r="42" spans="1:8" x14ac:dyDescent="0.25">
      <c r="A42" s="8">
        <v>45946</v>
      </c>
      <c r="B42" s="4">
        <v>650</v>
      </c>
      <c r="C42" s="51" t="s">
        <v>373</v>
      </c>
      <c r="D42" s="8">
        <v>45981</v>
      </c>
      <c r="E42" s="34" t="s">
        <v>437</v>
      </c>
      <c r="F42" s="34"/>
      <c r="G42" s="1"/>
      <c r="H42" s="1"/>
    </row>
    <row r="43" spans="1:8" x14ac:dyDescent="0.25">
      <c r="A43" s="8">
        <v>45946</v>
      </c>
      <c r="B43" s="4">
        <v>649</v>
      </c>
      <c r="C43" s="51" t="s">
        <v>373</v>
      </c>
      <c r="D43" s="8">
        <v>45981</v>
      </c>
      <c r="E43" s="34">
        <v>227</v>
      </c>
      <c r="F43" s="34"/>
      <c r="G43" s="1"/>
      <c r="H43" s="1"/>
    </row>
    <row r="44" spans="1:8" x14ac:dyDescent="0.25">
      <c r="A44" s="8">
        <v>45950</v>
      </c>
      <c r="B44" s="4">
        <v>25472</v>
      </c>
      <c r="C44" s="51" t="s">
        <v>193</v>
      </c>
      <c r="D44" s="8">
        <v>45981</v>
      </c>
      <c r="E44" s="34">
        <v>1146.2</v>
      </c>
      <c r="F44" s="34"/>
      <c r="G44" s="1"/>
      <c r="H44" s="1"/>
    </row>
    <row r="45" spans="1:8" x14ac:dyDescent="0.25">
      <c r="A45" s="8">
        <v>45951</v>
      </c>
      <c r="B45" s="4">
        <v>25502</v>
      </c>
      <c r="C45" s="51" t="s">
        <v>193</v>
      </c>
      <c r="D45" s="8">
        <v>45982</v>
      </c>
      <c r="E45" s="34">
        <v>531</v>
      </c>
      <c r="F45" s="34"/>
      <c r="G45" s="1"/>
      <c r="H45" s="1"/>
    </row>
    <row r="46" spans="1:8" x14ac:dyDescent="0.25">
      <c r="A46" s="8">
        <v>45951</v>
      </c>
      <c r="B46" s="4">
        <v>25491</v>
      </c>
      <c r="C46" s="51" t="s">
        <v>193</v>
      </c>
      <c r="D46" s="8">
        <v>45982</v>
      </c>
      <c r="E46" s="34">
        <v>501.4</v>
      </c>
      <c r="F46" s="34"/>
      <c r="G46" s="1"/>
      <c r="H46" s="1"/>
    </row>
    <row r="47" spans="1:8" x14ac:dyDescent="0.25">
      <c r="A47" s="8">
        <v>45783</v>
      </c>
      <c r="B47" s="81">
        <v>45931</v>
      </c>
      <c r="C47" s="51" t="s">
        <v>151</v>
      </c>
      <c r="D47" s="8">
        <v>45982</v>
      </c>
      <c r="E47" s="34">
        <v>76.900000000000006</v>
      </c>
      <c r="F47" s="34"/>
      <c r="G47" s="1"/>
      <c r="H47" s="1"/>
    </row>
    <row r="48" spans="1:8" x14ac:dyDescent="0.25">
      <c r="A48" s="155">
        <v>45952</v>
      </c>
      <c r="B48" s="4">
        <v>45057</v>
      </c>
      <c r="C48" s="4" t="s">
        <v>368</v>
      </c>
      <c r="D48" s="8">
        <v>45983</v>
      </c>
      <c r="E48" s="34">
        <v>874</v>
      </c>
      <c r="F48" s="34" t="s">
        <v>445</v>
      </c>
    </row>
    <row r="49" spans="1:7" x14ac:dyDescent="0.25">
      <c r="A49" s="155">
        <v>45954</v>
      </c>
      <c r="B49" s="4">
        <v>35318</v>
      </c>
      <c r="C49" s="4" t="s">
        <v>37</v>
      </c>
      <c r="D49" s="8">
        <v>45984</v>
      </c>
      <c r="E49" s="34">
        <v>89</v>
      </c>
      <c r="F49" s="34"/>
    </row>
    <row r="50" spans="1:7" x14ac:dyDescent="0.25">
      <c r="A50" s="155">
        <v>45954</v>
      </c>
      <c r="B50" s="4">
        <v>7741</v>
      </c>
      <c r="C50" s="4" t="s">
        <v>446</v>
      </c>
      <c r="D50" s="8">
        <v>45984</v>
      </c>
      <c r="E50" s="34" t="s">
        <v>447</v>
      </c>
      <c r="F50" s="34"/>
    </row>
    <row r="51" spans="1:7" x14ac:dyDescent="0.25">
      <c r="A51" s="155">
        <v>45954</v>
      </c>
      <c r="B51" s="4">
        <v>18333</v>
      </c>
      <c r="C51" s="4" t="s">
        <v>121</v>
      </c>
      <c r="D51" s="8">
        <v>45985</v>
      </c>
      <c r="E51" s="34">
        <v>197.56</v>
      </c>
      <c r="F51" s="34"/>
      <c r="G51" s="4" t="s">
        <v>449</v>
      </c>
    </row>
    <row r="52" spans="1:7" x14ac:dyDescent="0.25">
      <c r="C52" s="4" t="s">
        <v>181</v>
      </c>
      <c r="D52" s="8">
        <v>45986</v>
      </c>
      <c r="E52" s="34">
        <v>480</v>
      </c>
      <c r="F52" s="34"/>
    </row>
    <row r="53" spans="1:7" x14ac:dyDescent="0.25">
      <c r="A53" s="8">
        <v>45957</v>
      </c>
      <c r="B53" s="47">
        <v>18338</v>
      </c>
      <c r="C53" s="4" t="s">
        <v>121</v>
      </c>
      <c r="D53" s="155">
        <v>45988</v>
      </c>
      <c r="E53" s="34">
        <v>24</v>
      </c>
      <c r="F53" s="34"/>
    </row>
    <row r="54" spans="1:7" x14ac:dyDescent="0.25">
      <c r="A54" s="8">
        <v>45957</v>
      </c>
      <c r="B54" s="47">
        <v>21294</v>
      </c>
      <c r="C54" s="4" t="s">
        <v>211</v>
      </c>
      <c r="D54" s="155">
        <v>45988</v>
      </c>
      <c r="E54" s="34">
        <v>184</v>
      </c>
      <c r="F54" s="34"/>
    </row>
    <row r="55" spans="1:7" x14ac:dyDescent="0.25">
      <c r="A55" s="8">
        <v>45958</v>
      </c>
      <c r="B55" s="47">
        <v>3823</v>
      </c>
      <c r="C55" s="4" t="s">
        <v>67</v>
      </c>
      <c r="D55" s="155">
        <v>45988</v>
      </c>
      <c r="E55" s="34">
        <v>55.8</v>
      </c>
      <c r="F55" s="34"/>
    </row>
    <row r="56" spans="1:7" x14ac:dyDescent="0.25">
      <c r="A56" s="8">
        <v>45958</v>
      </c>
      <c r="B56" s="47">
        <v>35497</v>
      </c>
      <c r="C56" s="4" t="s">
        <v>37</v>
      </c>
      <c r="D56" s="155">
        <v>45988</v>
      </c>
      <c r="E56" s="34">
        <v>101.4</v>
      </c>
      <c r="F56" s="34"/>
    </row>
    <row r="57" spans="1:7" x14ac:dyDescent="0.25">
      <c r="A57" s="8">
        <v>45991</v>
      </c>
      <c r="B57" s="47" t="s">
        <v>452</v>
      </c>
      <c r="C57" s="4" t="s">
        <v>454</v>
      </c>
      <c r="D57" s="155">
        <v>45991</v>
      </c>
      <c r="E57" s="37">
        <v>275</v>
      </c>
      <c r="F57" s="34"/>
      <c r="G57" s="4" t="s">
        <v>457</v>
      </c>
    </row>
    <row r="58" spans="1:7" x14ac:dyDescent="0.25">
      <c r="A58" s="8">
        <v>45991</v>
      </c>
      <c r="B58" s="4" t="s">
        <v>458</v>
      </c>
      <c r="C58" s="4" t="s">
        <v>459</v>
      </c>
      <c r="D58" s="4" t="s">
        <v>460</v>
      </c>
      <c r="E58" s="34">
        <v>200</v>
      </c>
      <c r="F58" s="34"/>
    </row>
    <row r="59" spans="1:7" x14ac:dyDescent="0.25">
      <c r="A59" s="8">
        <v>45958</v>
      </c>
      <c r="B59" s="47">
        <v>35554</v>
      </c>
      <c r="C59" s="4" t="s">
        <v>37</v>
      </c>
      <c r="D59" s="155">
        <v>45988</v>
      </c>
      <c r="E59" s="34">
        <v>81</v>
      </c>
      <c r="F59" s="34"/>
    </row>
    <row r="60" spans="1:7" x14ac:dyDescent="0.25">
      <c r="A60" s="8">
        <v>45950</v>
      </c>
      <c r="B60" s="47" t="s">
        <v>461</v>
      </c>
      <c r="C60" s="4" t="s">
        <v>416</v>
      </c>
      <c r="D60" s="155">
        <v>45991</v>
      </c>
      <c r="E60" s="34">
        <v>27</v>
      </c>
      <c r="F60" s="34"/>
    </row>
    <row r="61" spans="1:7" x14ac:dyDescent="0.25">
      <c r="A61" s="155">
        <v>45944</v>
      </c>
      <c r="B61" s="4">
        <v>5983</v>
      </c>
      <c r="C61" s="4" t="s">
        <v>463</v>
      </c>
      <c r="D61" s="8">
        <v>45966</v>
      </c>
      <c r="E61" s="34">
        <v>360</v>
      </c>
      <c r="F61" s="4"/>
    </row>
    <row r="62" spans="1:7" x14ac:dyDescent="0.25">
      <c r="A62" s="155">
        <v>45950</v>
      </c>
      <c r="B62" s="4" t="s">
        <v>465</v>
      </c>
      <c r="C62" s="4" t="s">
        <v>466</v>
      </c>
      <c r="D62" s="8">
        <v>45966</v>
      </c>
      <c r="E62" s="34">
        <v>623.33000000000004</v>
      </c>
      <c r="F62" s="4"/>
    </row>
    <row r="63" spans="1:7" x14ac:dyDescent="0.25">
      <c r="A63" s="155">
        <v>45950</v>
      </c>
      <c r="B63" s="4">
        <v>116</v>
      </c>
      <c r="C63" s="4" t="s">
        <v>468</v>
      </c>
      <c r="D63" s="8">
        <v>45966</v>
      </c>
      <c r="E63" s="34">
        <v>655</v>
      </c>
    </row>
    <row r="64" spans="1:7" x14ac:dyDescent="0.25">
      <c r="A64" s="8">
        <v>45966</v>
      </c>
      <c r="B64" s="4">
        <v>1063922</v>
      </c>
      <c r="C64" s="4" t="s">
        <v>469</v>
      </c>
      <c r="D64" s="172">
        <v>45966</v>
      </c>
      <c r="E64" s="56">
        <v>102.74</v>
      </c>
    </row>
    <row r="65" spans="1:6" x14ac:dyDescent="0.25">
      <c r="A65" s="8">
        <v>45966</v>
      </c>
      <c r="C65" s="4" t="s">
        <v>471</v>
      </c>
      <c r="D65" s="172">
        <v>45966</v>
      </c>
      <c r="E65" s="56">
        <v>103.59</v>
      </c>
    </row>
    <row r="66" spans="1:6" x14ac:dyDescent="0.25">
      <c r="A66" s="8">
        <v>45967</v>
      </c>
      <c r="B66" s="4" t="s">
        <v>473</v>
      </c>
      <c r="C66" s="4" t="s">
        <v>474</v>
      </c>
      <c r="D66" s="173">
        <v>45967</v>
      </c>
      <c r="E66" s="56">
        <v>34</v>
      </c>
    </row>
    <row r="67" spans="1:6" x14ac:dyDescent="0.25">
      <c r="A67" s="8">
        <v>45964</v>
      </c>
      <c r="B67" s="4">
        <v>68668</v>
      </c>
      <c r="C67" s="4" t="s">
        <v>476</v>
      </c>
      <c r="D67" s="173">
        <v>45968</v>
      </c>
      <c r="E67" s="56">
        <v>81.290000000000006</v>
      </c>
    </row>
    <row r="68" spans="1:6" x14ac:dyDescent="0.25">
      <c r="A68" s="8">
        <v>45964</v>
      </c>
      <c r="C68" s="4" t="s">
        <v>478</v>
      </c>
      <c r="D68" s="172">
        <v>45964</v>
      </c>
      <c r="E68" s="56" t="s">
        <v>479</v>
      </c>
      <c r="F68" s="52"/>
    </row>
    <row r="69" spans="1:6" x14ac:dyDescent="0.25">
      <c r="A69" s="155">
        <v>45971</v>
      </c>
      <c r="C69" s="4" t="s">
        <v>481</v>
      </c>
      <c r="D69" s="173">
        <v>45971</v>
      </c>
      <c r="E69" s="56" t="s">
        <v>482</v>
      </c>
    </row>
    <row r="70" spans="1:6" x14ac:dyDescent="0.25">
      <c r="A70" s="155">
        <v>45975</v>
      </c>
      <c r="C70" s="4" t="s">
        <v>483</v>
      </c>
      <c r="D70" s="173">
        <v>45975</v>
      </c>
      <c r="E70" s="56">
        <v>61.62</v>
      </c>
    </row>
    <row r="71" spans="1:6" x14ac:dyDescent="0.25">
      <c r="A71" s="155">
        <v>45971</v>
      </c>
      <c r="C71" s="4" t="s">
        <v>484</v>
      </c>
      <c r="D71" s="173">
        <v>45971</v>
      </c>
      <c r="E71" s="56" t="s">
        <v>485</v>
      </c>
    </row>
    <row r="72" spans="1:6" x14ac:dyDescent="0.25">
      <c r="A72" s="155">
        <v>45980</v>
      </c>
      <c r="B72" s="4" t="s">
        <v>486</v>
      </c>
      <c r="C72" s="4" t="s">
        <v>487</v>
      </c>
      <c r="D72" s="170">
        <v>45980</v>
      </c>
      <c r="E72" s="174" t="s">
        <v>488</v>
      </c>
    </row>
    <row r="73" spans="1:6" x14ac:dyDescent="0.25">
      <c r="A73" s="155">
        <v>45979</v>
      </c>
      <c r="B73" s="4">
        <v>96037</v>
      </c>
      <c r="C73" s="4" t="s">
        <v>284</v>
      </c>
      <c r="D73" s="155">
        <v>45979</v>
      </c>
      <c r="E73" s="56">
        <v>164.5</v>
      </c>
    </row>
    <row r="74" spans="1:6" x14ac:dyDescent="0.25">
      <c r="A74" s="155">
        <v>45982</v>
      </c>
      <c r="B74" s="4">
        <v>10938</v>
      </c>
      <c r="C74" s="4" t="s">
        <v>469</v>
      </c>
      <c r="D74" s="155">
        <v>45982</v>
      </c>
      <c r="E74" s="56">
        <v>117.56</v>
      </c>
    </row>
    <row r="75" spans="1:6" x14ac:dyDescent="0.25">
      <c r="A75" s="155">
        <v>45987</v>
      </c>
      <c r="B75" s="4" t="s">
        <v>490</v>
      </c>
      <c r="C75" s="4" t="s">
        <v>491</v>
      </c>
      <c r="D75" s="155">
        <v>45987</v>
      </c>
      <c r="E75" s="56">
        <v>682.78</v>
      </c>
    </row>
    <row r="76" spans="1:6" x14ac:dyDescent="0.25">
      <c r="A76" s="155">
        <v>45987</v>
      </c>
      <c r="C76" s="4" t="s">
        <v>493</v>
      </c>
      <c r="D76" s="155">
        <v>45987</v>
      </c>
      <c r="E76" s="56">
        <v>76.5</v>
      </c>
      <c r="F76" s="52"/>
    </row>
    <row r="77" spans="1:6" x14ac:dyDescent="0.25">
      <c r="A77" s="155">
        <v>45987</v>
      </c>
      <c r="C77" s="4" t="s">
        <v>495</v>
      </c>
      <c r="D77" s="155">
        <v>45987</v>
      </c>
      <c r="E77" s="56">
        <v>35</v>
      </c>
      <c r="F77" s="52"/>
    </row>
    <row r="78" spans="1:6" x14ac:dyDescent="0.25">
      <c r="A78" s="155">
        <v>45987</v>
      </c>
      <c r="C78" s="4" t="s">
        <v>495</v>
      </c>
      <c r="D78" s="155">
        <v>45987</v>
      </c>
      <c r="E78" s="56">
        <v>64.349999999999994</v>
      </c>
      <c r="F78" s="52"/>
    </row>
    <row r="79" spans="1:6" ht="15.75" customHeight="1" x14ac:dyDescent="0.25">
      <c r="E79" s="33"/>
    </row>
    <row r="80" spans="1:6" ht="15.75" customHeight="1" x14ac:dyDescent="0.25">
      <c r="E80" s="33"/>
    </row>
    <row r="81" spans="5:5" ht="15.75" customHeight="1" x14ac:dyDescent="0.25">
      <c r="E81" s="33"/>
    </row>
    <row r="82" spans="5:5" ht="15.75" customHeight="1" x14ac:dyDescent="0.25">
      <c r="E82" s="33"/>
    </row>
    <row r="83" spans="5:5" ht="15.75" customHeight="1" x14ac:dyDescent="0.25">
      <c r="E83" s="33"/>
    </row>
    <row r="84" spans="5:5" ht="15.75" customHeight="1" x14ac:dyDescent="0.25">
      <c r="E84" s="33"/>
    </row>
    <row r="85" spans="5:5" ht="15.75" customHeight="1" x14ac:dyDescent="0.25">
      <c r="E85" s="33"/>
    </row>
    <row r="86" spans="5:5" ht="15.75" customHeight="1" x14ac:dyDescent="0.25">
      <c r="E86" s="33"/>
    </row>
    <row r="87" spans="5:5" ht="15.75" customHeight="1" x14ac:dyDescent="0.25">
      <c r="E87" s="33"/>
    </row>
    <row r="88" spans="5:5" ht="15.75" customHeight="1" x14ac:dyDescent="0.25">
      <c r="E88" s="33"/>
    </row>
    <row r="89" spans="5:5" ht="15.75" customHeight="1" x14ac:dyDescent="0.25">
      <c r="E89" s="33"/>
    </row>
    <row r="90" spans="5:5" ht="15.75" customHeight="1" x14ac:dyDescent="0.25">
      <c r="E90" s="33"/>
    </row>
    <row r="91" spans="5:5" ht="15.75" customHeight="1" x14ac:dyDescent="0.25">
      <c r="E91" s="33"/>
    </row>
    <row r="92" spans="5:5" ht="15.75" customHeight="1" x14ac:dyDescent="0.25">
      <c r="E92" s="33"/>
    </row>
    <row r="93" spans="5:5" ht="15.75" customHeight="1" x14ac:dyDescent="0.25">
      <c r="E93" s="33"/>
    </row>
    <row r="94" spans="5:5" ht="15.75" customHeight="1" x14ac:dyDescent="0.25">
      <c r="E94" s="33"/>
    </row>
    <row r="95" spans="5:5" ht="15.75" customHeight="1" x14ac:dyDescent="0.25">
      <c r="E95" s="33"/>
    </row>
    <row r="96" spans="5:5" ht="15.75" customHeight="1" x14ac:dyDescent="0.25">
      <c r="E96" s="33"/>
    </row>
    <row r="97" spans="5:5" ht="15.75" customHeight="1" x14ac:dyDescent="0.25">
      <c r="E97" s="33"/>
    </row>
    <row r="98" spans="5:5" ht="15.75" customHeight="1" x14ac:dyDescent="0.25">
      <c r="E98" s="33"/>
    </row>
    <row r="99" spans="5:5" ht="15.75" customHeight="1" x14ac:dyDescent="0.25">
      <c r="E99" s="33"/>
    </row>
    <row r="100" spans="5:5" ht="15.75" customHeight="1" x14ac:dyDescent="0.25">
      <c r="E100" s="33"/>
    </row>
    <row r="101" spans="5:5" ht="15.75" customHeight="1" x14ac:dyDescent="0.25">
      <c r="E101" s="33"/>
    </row>
    <row r="102" spans="5:5" ht="15.75" customHeight="1" x14ac:dyDescent="0.25">
      <c r="E102" s="33"/>
    </row>
    <row r="103" spans="5:5" ht="15.75" customHeight="1" x14ac:dyDescent="0.25">
      <c r="E103" s="33"/>
    </row>
    <row r="104" spans="5:5" ht="15.75" customHeight="1" x14ac:dyDescent="0.25">
      <c r="E104" s="33"/>
    </row>
    <row r="105" spans="5:5" ht="15.75" customHeight="1" x14ac:dyDescent="0.25">
      <c r="E105" s="33"/>
    </row>
    <row r="106" spans="5:5" ht="15.75" customHeight="1" x14ac:dyDescent="0.25">
      <c r="E106" s="33"/>
    </row>
    <row r="107" spans="5:5" ht="15.75" customHeight="1" x14ac:dyDescent="0.25">
      <c r="E107" s="33"/>
    </row>
    <row r="108" spans="5:5" ht="15.75" customHeight="1" x14ac:dyDescent="0.25">
      <c r="E108" s="33"/>
    </row>
    <row r="109" spans="5:5" ht="15.75" customHeight="1" x14ac:dyDescent="0.25">
      <c r="E109" s="33"/>
    </row>
    <row r="110" spans="5:5" ht="15.75" customHeight="1" x14ac:dyDescent="0.25">
      <c r="E110" s="33"/>
    </row>
    <row r="111" spans="5:5" ht="15.75" customHeight="1" x14ac:dyDescent="0.25">
      <c r="E111" s="33"/>
    </row>
    <row r="112" spans="5:5" ht="15.75" customHeight="1" x14ac:dyDescent="0.25">
      <c r="E112" s="33"/>
    </row>
    <row r="113" spans="5:5" ht="15.75" customHeight="1" x14ac:dyDescent="0.25">
      <c r="E113" s="33"/>
    </row>
    <row r="114" spans="5:5" ht="15.75" customHeight="1" x14ac:dyDescent="0.25">
      <c r="E114" s="33"/>
    </row>
    <row r="115" spans="5:5" ht="15.75" customHeight="1" x14ac:dyDescent="0.25">
      <c r="E115" s="33"/>
    </row>
    <row r="116" spans="5:5" ht="15.75" customHeight="1" x14ac:dyDescent="0.25">
      <c r="E116" s="33"/>
    </row>
    <row r="117" spans="5:5" ht="15.75" customHeight="1" x14ac:dyDescent="0.25">
      <c r="E117" s="33"/>
    </row>
    <row r="118" spans="5:5" ht="15.75" customHeight="1" x14ac:dyDescent="0.25">
      <c r="E118" s="33"/>
    </row>
    <row r="119" spans="5:5" ht="15.75" customHeight="1" x14ac:dyDescent="0.25">
      <c r="E119" s="33"/>
    </row>
    <row r="120" spans="5:5" ht="15.75" customHeight="1" x14ac:dyDescent="0.25">
      <c r="E120" s="33"/>
    </row>
    <row r="121" spans="5:5" ht="15.75" customHeight="1" x14ac:dyDescent="0.25">
      <c r="E121" s="33"/>
    </row>
    <row r="122" spans="5:5" ht="15.75" customHeight="1" x14ac:dyDescent="0.25">
      <c r="E122" s="33"/>
    </row>
    <row r="123" spans="5:5" ht="15.75" customHeight="1" x14ac:dyDescent="0.25">
      <c r="E123" s="33"/>
    </row>
    <row r="124" spans="5:5" ht="15.75" customHeight="1" x14ac:dyDescent="0.25">
      <c r="E124" s="33"/>
    </row>
    <row r="125" spans="5:5" ht="15.75" customHeight="1" x14ac:dyDescent="0.25">
      <c r="E125" s="33"/>
    </row>
    <row r="126" spans="5:5" ht="15.75" customHeight="1" x14ac:dyDescent="0.25">
      <c r="E126" s="33"/>
    </row>
    <row r="127" spans="5:5" ht="15.75" customHeight="1" x14ac:dyDescent="0.25">
      <c r="E127" s="33"/>
    </row>
    <row r="128" spans="5:5" ht="15.75" customHeight="1" x14ac:dyDescent="0.25">
      <c r="E128" s="33"/>
    </row>
    <row r="129" spans="3:6" ht="15.75" customHeight="1" x14ac:dyDescent="0.25">
      <c r="E129" s="33"/>
    </row>
    <row r="130" spans="3:6" ht="15.75" customHeight="1" x14ac:dyDescent="0.25">
      <c r="E130" s="33"/>
    </row>
    <row r="131" spans="3:6" ht="15.75" customHeight="1" x14ac:dyDescent="0.25">
      <c r="C131" s="4"/>
      <c r="D131" s="54"/>
      <c r="E131" s="33"/>
      <c r="F131" s="34"/>
    </row>
    <row r="132" spans="3:6" ht="15.75" customHeight="1" x14ac:dyDescent="0.25">
      <c r="C132" s="4"/>
      <c r="D132" s="8"/>
      <c r="E132" s="33"/>
      <c r="F132" s="34"/>
    </row>
    <row r="133" spans="3:6" ht="15.75" customHeight="1" x14ac:dyDescent="0.25">
      <c r="C133" s="4"/>
      <c r="D133" s="54"/>
      <c r="E133" s="85"/>
      <c r="F133" s="85"/>
    </row>
    <row r="134" spans="3:6" ht="15.75" customHeight="1" x14ac:dyDescent="0.25">
      <c r="C134" s="4"/>
      <c r="E134" s="33"/>
      <c r="F134" s="34"/>
    </row>
    <row r="135" spans="3:6" ht="15.75" customHeight="1" x14ac:dyDescent="0.25">
      <c r="C135" s="4"/>
      <c r="D135" s="8"/>
      <c r="E135" s="33"/>
      <c r="F135" s="34"/>
    </row>
    <row r="136" spans="3:6" ht="15.75" customHeight="1" x14ac:dyDescent="0.25">
      <c r="C136" s="4"/>
      <c r="D136" s="8"/>
      <c r="E136" s="34"/>
      <c r="F136" s="34"/>
    </row>
    <row r="137" spans="3:6" ht="15.75" customHeight="1" x14ac:dyDescent="0.25">
      <c r="C137" s="4"/>
      <c r="E137" s="33"/>
      <c r="F137" s="34"/>
    </row>
    <row r="138" spans="3:6" ht="15.75" customHeight="1" x14ac:dyDescent="0.25">
      <c r="C138" s="4"/>
      <c r="E138" s="33"/>
      <c r="F138" s="34"/>
    </row>
    <row r="139" spans="3:6" ht="15.75" customHeight="1" x14ac:dyDescent="0.25">
      <c r="C139" s="4" t="s">
        <v>385</v>
      </c>
      <c r="E139" s="33"/>
      <c r="F139" s="34"/>
    </row>
    <row r="140" spans="3:6" ht="15.75" customHeight="1" x14ac:dyDescent="0.25">
      <c r="C140" s="4"/>
      <c r="D140" s="8"/>
      <c r="E140" s="33"/>
      <c r="F140" s="34"/>
    </row>
    <row r="141" spans="3:6" ht="15.75" customHeight="1" x14ac:dyDescent="0.25">
      <c r="C141" s="4" t="s">
        <v>430</v>
      </c>
      <c r="E141" s="33"/>
      <c r="F141" s="34"/>
    </row>
    <row r="142" spans="3:6" ht="15.75" customHeight="1" x14ac:dyDescent="0.25">
      <c r="C142" s="4" t="s">
        <v>432</v>
      </c>
      <c r="E142" s="33"/>
      <c r="F142" s="34"/>
    </row>
    <row r="143" spans="3:6" ht="15.75" customHeight="1" x14ac:dyDescent="0.25">
      <c r="C143" s="4" t="s">
        <v>322</v>
      </c>
      <c r="E143" s="34"/>
      <c r="F143" s="34">
        <v>208.75</v>
      </c>
    </row>
    <row r="144" spans="3:6" ht="15.75" customHeight="1" x14ac:dyDescent="0.25">
      <c r="C144" s="4" t="s">
        <v>323</v>
      </c>
      <c r="E144" s="33"/>
      <c r="F144" s="34">
        <v>5.05</v>
      </c>
    </row>
    <row r="145" spans="3:8" ht="15.75" customHeight="1" x14ac:dyDescent="0.25">
      <c r="C145" s="4" t="s">
        <v>324</v>
      </c>
      <c r="D145" s="8">
        <v>45925</v>
      </c>
      <c r="E145" s="133"/>
      <c r="F145" s="34">
        <v>97</v>
      </c>
    </row>
    <row r="146" spans="3:8" ht="15.75" customHeight="1" x14ac:dyDescent="0.25">
      <c r="E146" s="33"/>
    </row>
    <row r="147" spans="3:8" ht="15.75" customHeight="1" x14ac:dyDescent="0.25">
      <c r="E147" s="33"/>
    </row>
    <row r="148" spans="3:8" ht="15.75" customHeight="1" x14ac:dyDescent="0.25">
      <c r="E148" s="33"/>
    </row>
    <row r="149" spans="3:8" ht="15.75" customHeight="1" x14ac:dyDescent="0.25">
      <c r="E149" s="33"/>
    </row>
    <row r="150" spans="3:8" ht="15.75" customHeight="1" x14ac:dyDescent="0.25">
      <c r="E150" s="33"/>
    </row>
    <row r="151" spans="3:8" ht="15.75" customHeight="1" x14ac:dyDescent="0.25">
      <c r="E151" s="33"/>
    </row>
    <row r="152" spans="3:8" ht="15.75" customHeight="1" x14ac:dyDescent="0.25">
      <c r="E152" s="33"/>
    </row>
    <row r="153" spans="3:8" ht="15.75" customHeight="1" x14ac:dyDescent="0.25">
      <c r="E153" s="33"/>
    </row>
    <row r="154" spans="3:8" ht="15.75" customHeight="1" x14ac:dyDescent="0.25">
      <c r="E154" s="33"/>
    </row>
    <row r="155" spans="3:8" ht="15.75" customHeight="1" x14ac:dyDescent="0.25">
      <c r="E155" s="33"/>
    </row>
    <row r="156" spans="3:8" ht="15.75" customHeight="1" x14ac:dyDescent="0.25">
      <c r="E156" s="33"/>
    </row>
    <row r="157" spans="3:8" ht="15.75" customHeight="1" x14ac:dyDescent="0.25">
      <c r="E157" s="33"/>
    </row>
    <row r="158" spans="3:8" ht="15.75" customHeight="1" x14ac:dyDescent="0.25">
      <c r="E158" s="33"/>
    </row>
    <row r="159" spans="3:8" ht="15.75" customHeight="1" x14ac:dyDescent="0.25">
      <c r="E159" s="33"/>
      <c r="H159" s="171">
        <f>SUM(H2:H158)</f>
        <v>11682.06</v>
      </c>
    </row>
    <row r="160" spans="3:8" ht="15.75" customHeight="1" x14ac:dyDescent="0.25">
      <c r="E160" s="33"/>
    </row>
    <row r="161" spans="5:6" ht="15.75" customHeight="1" x14ac:dyDescent="0.25">
      <c r="E161" s="133">
        <f t="shared" ref="E161:F161" si="0">SUM(E2:E160)</f>
        <v>34146.710000000014</v>
      </c>
      <c r="F161" s="133">
        <f t="shared" si="0"/>
        <v>310.8</v>
      </c>
    </row>
    <row r="162" spans="5:6" ht="15.75" customHeight="1" x14ac:dyDescent="0.25"/>
    <row r="163" spans="5:6" ht="15.75" customHeight="1" x14ac:dyDescent="0.25"/>
    <row r="164" spans="5:6" ht="15.75" customHeight="1" x14ac:dyDescent="0.25"/>
    <row r="165" spans="5:6" ht="15.75" customHeight="1" x14ac:dyDescent="0.25"/>
    <row r="166" spans="5:6" ht="15.75" customHeight="1" x14ac:dyDescent="0.25"/>
    <row r="167" spans="5:6" ht="15.75" customHeight="1" x14ac:dyDescent="0.25"/>
    <row r="168" spans="5:6" ht="15.75" customHeight="1" x14ac:dyDescent="0.25"/>
    <row r="169" spans="5:6" ht="15.75" customHeight="1" x14ac:dyDescent="0.25"/>
    <row r="170" spans="5:6" ht="15.75" customHeight="1" x14ac:dyDescent="0.25"/>
    <row r="171" spans="5:6" ht="15.75" customHeight="1" x14ac:dyDescent="0.25"/>
    <row r="172" spans="5:6" ht="15.75" customHeight="1" x14ac:dyDescent="0.25"/>
    <row r="173" spans="5:6" ht="15.75" customHeight="1" x14ac:dyDescent="0.25"/>
    <row r="174" spans="5:6" ht="15.75" customHeight="1" x14ac:dyDescent="0.25"/>
    <row r="175" spans="5:6" ht="15.75" customHeight="1" x14ac:dyDescent="0.25"/>
    <row r="176" spans="5: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43"/>
  <sheetViews>
    <sheetView workbookViewId="0"/>
  </sheetViews>
  <sheetFormatPr defaultColWidth="12.5703125" defaultRowHeight="15" customHeight="1" x14ac:dyDescent="0.25"/>
  <cols>
    <col min="1" max="1" width="17.7109375" customWidth="1"/>
    <col min="2" max="2" width="16.140625" customWidth="1"/>
    <col min="3" max="3" width="28" customWidth="1"/>
    <col min="4" max="4" width="19.7109375" customWidth="1"/>
    <col min="5" max="5" width="14.28515625" customWidth="1"/>
    <col min="6" max="6" width="15.5703125" customWidth="1"/>
    <col min="7" max="7" width="17.28515625" customWidth="1"/>
    <col min="8" max="8" width="17.42578125" customWidth="1"/>
    <col min="9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>
        <v>45992</v>
      </c>
      <c r="B2" s="22">
        <v>1</v>
      </c>
      <c r="C2" s="23" t="s">
        <v>77</v>
      </c>
      <c r="D2" s="9"/>
      <c r="E2" s="84"/>
      <c r="F2" s="150"/>
      <c r="G2" s="4"/>
      <c r="H2" s="38">
        <v>1</v>
      </c>
    </row>
    <row r="3" spans="1:9" x14ac:dyDescent="0.25">
      <c r="A3" s="17">
        <v>45992</v>
      </c>
      <c r="B3" s="32">
        <v>2</v>
      </c>
      <c r="C3" s="32" t="s">
        <v>259</v>
      </c>
      <c r="D3" s="29"/>
      <c r="E3" s="38"/>
      <c r="F3" s="38"/>
      <c r="G3" s="82"/>
      <c r="H3" s="38">
        <v>1</v>
      </c>
    </row>
    <row r="4" spans="1:9" x14ac:dyDescent="0.25">
      <c r="A4" s="8">
        <v>45901</v>
      </c>
      <c r="B4" s="47" t="s">
        <v>420</v>
      </c>
      <c r="C4" s="51" t="s">
        <v>148</v>
      </c>
      <c r="D4" s="8">
        <v>45992</v>
      </c>
      <c r="E4" s="34">
        <v>232</v>
      </c>
      <c r="F4" s="34"/>
    </row>
    <row r="5" spans="1:9" x14ac:dyDescent="0.25">
      <c r="A5" s="8">
        <v>45994</v>
      </c>
      <c r="B5" s="4">
        <v>19742</v>
      </c>
      <c r="C5" s="51" t="s">
        <v>424</v>
      </c>
      <c r="D5" s="168">
        <v>46005</v>
      </c>
      <c r="E5" s="37">
        <v>1375</v>
      </c>
      <c r="F5" s="34"/>
    </row>
    <row r="6" spans="1:9" x14ac:dyDescent="0.25">
      <c r="A6" s="8">
        <v>45992</v>
      </c>
      <c r="B6" s="4">
        <v>21120</v>
      </c>
      <c r="C6" s="51" t="s">
        <v>72</v>
      </c>
      <c r="D6" s="8">
        <v>46370</v>
      </c>
      <c r="E6" s="37">
        <v>220</v>
      </c>
      <c r="F6" s="34"/>
    </row>
    <row r="7" spans="1:9" x14ac:dyDescent="0.25">
      <c r="A7" s="8">
        <v>45783</v>
      </c>
      <c r="B7" s="81">
        <v>45962</v>
      </c>
      <c r="C7" s="51" t="s">
        <v>151</v>
      </c>
      <c r="D7" s="8">
        <v>46013</v>
      </c>
      <c r="E7" s="34">
        <v>76.900000000000006</v>
      </c>
      <c r="F7" s="34"/>
    </row>
    <row r="8" spans="1:9" x14ac:dyDescent="0.25">
      <c r="E8" s="33"/>
    </row>
    <row r="9" spans="1:9" x14ac:dyDescent="0.25">
      <c r="A9" s="8">
        <v>45965</v>
      </c>
      <c r="B9" s="4">
        <v>35885</v>
      </c>
      <c r="C9" s="4" t="s">
        <v>425</v>
      </c>
      <c r="D9" s="8">
        <v>45995</v>
      </c>
      <c r="E9" s="37">
        <v>35</v>
      </c>
      <c r="F9" s="4"/>
    </row>
    <row r="10" spans="1:9" x14ac:dyDescent="0.25">
      <c r="A10" s="8">
        <v>45966</v>
      </c>
      <c r="B10" s="4">
        <v>35997</v>
      </c>
      <c r="C10" s="4" t="s">
        <v>425</v>
      </c>
      <c r="D10" s="8">
        <v>45996</v>
      </c>
      <c r="E10" s="37">
        <v>264</v>
      </c>
      <c r="F10" s="4"/>
    </row>
    <row r="11" spans="1:9" x14ac:dyDescent="0.25">
      <c r="A11" s="8">
        <v>45966</v>
      </c>
      <c r="B11" s="4">
        <v>36040</v>
      </c>
      <c r="C11" s="4" t="s">
        <v>425</v>
      </c>
      <c r="D11" s="54">
        <v>45996</v>
      </c>
      <c r="E11" s="55">
        <v>339</v>
      </c>
      <c r="F11" s="85"/>
    </row>
    <row r="12" spans="1:9" x14ac:dyDescent="0.25">
      <c r="A12" s="8"/>
      <c r="B12" s="4"/>
      <c r="C12" s="4"/>
      <c r="D12" s="54"/>
      <c r="E12" s="33"/>
      <c r="F12" s="34"/>
    </row>
    <row r="13" spans="1:9" x14ac:dyDescent="0.25">
      <c r="A13" s="8">
        <v>45968</v>
      </c>
      <c r="B13" s="4">
        <v>25767</v>
      </c>
      <c r="C13" s="4" t="s">
        <v>193</v>
      </c>
      <c r="D13" s="54">
        <v>45998</v>
      </c>
      <c r="E13" s="37">
        <v>77.7</v>
      </c>
      <c r="F13" s="34"/>
    </row>
    <row r="14" spans="1:9" x14ac:dyDescent="0.25">
      <c r="A14" s="8">
        <v>45968</v>
      </c>
      <c r="B14" s="4">
        <v>24044</v>
      </c>
      <c r="C14" s="4" t="s">
        <v>426</v>
      </c>
      <c r="D14" s="54">
        <v>45998</v>
      </c>
      <c r="E14" s="37">
        <v>31.8</v>
      </c>
      <c r="F14" s="34"/>
    </row>
    <row r="15" spans="1:9" x14ac:dyDescent="0.25">
      <c r="C15" s="4"/>
      <c r="D15" s="54"/>
      <c r="E15" s="33"/>
      <c r="F15" s="34"/>
    </row>
    <row r="16" spans="1:9" x14ac:dyDescent="0.25">
      <c r="A16" s="8">
        <v>45996</v>
      </c>
      <c r="B16" s="4"/>
      <c r="C16" s="4" t="s">
        <v>427</v>
      </c>
      <c r="D16" s="54">
        <v>45996</v>
      </c>
      <c r="E16" s="85">
        <v>2632.5</v>
      </c>
      <c r="F16" s="85"/>
    </row>
    <row r="17" spans="1:6" x14ac:dyDescent="0.25">
      <c r="A17" s="8">
        <v>45996</v>
      </c>
      <c r="B17" s="4"/>
      <c r="C17" s="4" t="s">
        <v>428</v>
      </c>
      <c r="D17" s="54">
        <v>45996</v>
      </c>
      <c r="E17" s="55">
        <v>1527</v>
      </c>
      <c r="F17" s="85"/>
    </row>
    <row r="18" spans="1:6" x14ac:dyDescent="0.25">
      <c r="A18" s="8">
        <v>45996</v>
      </c>
      <c r="B18" s="4"/>
      <c r="C18" s="4" t="s">
        <v>93</v>
      </c>
      <c r="D18" s="54">
        <v>45996</v>
      </c>
      <c r="E18" s="85">
        <v>2100</v>
      </c>
      <c r="F18" s="85"/>
    </row>
    <row r="19" spans="1:6" x14ac:dyDescent="0.25">
      <c r="A19" s="8">
        <v>45996</v>
      </c>
      <c r="B19" s="4"/>
      <c r="C19" s="4" t="s">
        <v>66</v>
      </c>
      <c r="D19" s="54">
        <v>45996</v>
      </c>
      <c r="E19" s="85">
        <v>1900</v>
      </c>
      <c r="F19" s="85"/>
    </row>
    <row r="20" spans="1:6" x14ac:dyDescent="0.25">
      <c r="A20" s="8"/>
      <c r="B20" s="4"/>
      <c r="C20" s="4"/>
      <c r="D20" s="54"/>
      <c r="E20" s="85"/>
      <c r="F20" s="85"/>
    </row>
    <row r="21" spans="1:6" x14ac:dyDescent="0.25">
      <c r="A21" s="8">
        <v>45996</v>
      </c>
      <c r="B21" s="4"/>
      <c r="C21" s="4" t="s">
        <v>429</v>
      </c>
      <c r="D21" s="54">
        <v>45996</v>
      </c>
      <c r="E21" s="85">
        <v>1700</v>
      </c>
      <c r="F21" s="85"/>
    </row>
    <row r="22" spans="1:6" x14ac:dyDescent="0.25">
      <c r="A22" s="8">
        <v>45996</v>
      </c>
      <c r="B22" s="4"/>
      <c r="C22" s="4" t="s">
        <v>80</v>
      </c>
      <c r="D22" s="54">
        <v>45996</v>
      </c>
      <c r="E22" s="85">
        <v>1486.97</v>
      </c>
      <c r="F22" s="85"/>
    </row>
    <row r="23" spans="1:6" x14ac:dyDescent="0.25">
      <c r="C23" s="4" t="s">
        <v>245</v>
      </c>
      <c r="D23" s="54">
        <v>45997</v>
      </c>
      <c r="E23" s="85">
        <v>800</v>
      </c>
      <c r="F23" s="85"/>
    </row>
    <row r="24" spans="1:6" x14ac:dyDescent="0.25">
      <c r="C24" s="4"/>
      <c r="D24" s="54"/>
      <c r="E24" s="37"/>
      <c r="F24" s="34"/>
    </row>
    <row r="25" spans="1:6" x14ac:dyDescent="0.25">
      <c r="C25" s="4" t="s">
        <v>262</v>
      </c>
      <c r="D25" s="54">
        <v>45997</v>
      </c>
      <c r="E25" s="37">
        <v>550</v>
      </c>
      <c r="F25" s="34"/>
    </row>
    <row r="26" spans="1:6" x14ac:dyDescent="0.25">
      <c r="A26" s="8">
        <v>45997</v>
      </c>
      <c r="C26" s="4" t="s">
        <v>391</v>
      </c>
      <c r="D26" s="8">
        <v>45997</v>
      </c>
      <c r="E26" s="37">
        <v>1083.77</v>
      </c>
      <c r="F26" s="34"/>
    </row>
    <row r="27" spans="1:6" x14ac:dyDescent="0.25">
      <c r="B27" s="81">
        <v>45931</v>
      </c>
      <c r="C27" s="51" t="s">
        <v>299</v>
      </c>
      <c r="D27" s="8">
        <v>38696</v>
      </c>
      <c r="E27" s="55">
        <v>185</v>
      </c>
      <c r="F27" s="34"/>
    </row>
    <row r="28" spans="1:6" x14ac:dyDescent="0.25">
      <c r="B28" s="81">
        <v>45931</v>
      </c>
      <c r="C28" s="51" t="s">
        <v>258</v>
      </c>
      <c r="D28" s="8">
        <v>38696</v>
      </c>
      <c r="E28" s="55">
        <v>110</v>
      </c>
      <c r="F28" s="34" t="s">
        <v>236</v>
      </c>
    </row>
    <row r="29" spans="1:6" x14ac:dyDescent="0.25">
      <c r="C29" s="4" t="s">
        <v>163</v>
      </c>
      <c r="D29" s="155">
        <v>46004</v>
      </c>
      <c r="E29" s="37">
        <v>59.98</v>
      </c>
      <c r="F29" s="4"/>
    </row>
    <row r="30" spans="1:6" x14ac:dyDescent="0.25">
      <c r="C30" s="4" t="s">
        <v>316</v>
      </c>
      <c r="D30" s="8">
        <v>46006</v>
      </c>
      <c r="E30" s="34">
        <v>109.99</v>
      </c>
      <c r="F30" s="34"/>
    </row>
    <row r="31" spans="1:6" x14ac:dyDescent="0.25">
      <c r="C31" s="4" t="s">
        <v>431</v>
      </c>
      <c r="D31" s="8">
        <v>46010</v>
      </c>
      <c r="E31" s="34">
        <v>720</v>
      </c>
      <c r="F31" s="34"/>
    </row>
    <row r="32" spans="1:6" x14ac:dyDescent="0.25">
      <c r="C32" s="4" t="s">
        <v>181</v>
      </c>
      <c r="D32" s="8">
        <v>45986</v>
      </c>
      <c r="E32" s="34">
        <v>360</v>
      </c>
      <c r="F32" s="34"/>
    </row>
    <row r="33" spans="1:6" x14ac:dyDescent="0.25">
      <c r="A33" s="8">
        <v>45965</v>
      </c>
      <c r="B33" s="4">
        <v>19170</v>
      </c>
      <c r="C33" s="4" t="s">
        <v>424</v>
      </c>
      <c r="D33" s="155">
        <v>45986</v>
      </c>
      <c r="E33" s="55">
        <v>907.5</v>
      </c>
      <c r="F33" s="4"/>
    </row>
    <row r="34" spans="1:6" x14ac:dyDescent="0.25">
      <c r="A34" s="155">
        <v>45968</v>
      </c>
      <c r="B34" s="4">
        <v>24044</v>
      </c>
      <c r="C34" s="4" t="s">
        <v>434</v>
      </c>
      <c r="D34" s="155">
        <v>45998</v>
      </c>
      <c r="E34" s="37" t="s">
        <v>435</v>
      </c>
      <c r="F34" s="4"/>
    </row>
    <row r="35" spans="1:6" x14ac:dyDescent="0.25">
      <c r="A35" s="155"/>
      <c r="B35" s="4"/>
      <c r="C35" s="4"/>
      <c r="D35" s="155"/>
      <c r="E35" s="33"/>
      <c r="F35" s="4"/>
    </row>
    <row r="36" spans="1:6" x14ac:dyDescent="0.25">
      <c r="A36" s="155">
        <v>45971</v>
      </c>
      <c r="B36" s="4">
        <v>18400</v>
      </c>
      <c r="C36" s="4" t="s">
        <v>438</v>
      </c>
      <c r="D36" s="170">
        <v>46001</v>
      </c>
      <c r="E36" s="37">
        <v>243</v>
      </c>
      <c r="F36" s="4"/>
    </row>
    <row r="37" spans="1:6" x14ac:dyDescent="0.25">
      <c r="A37" s="155">
        <v>45971</v>
      </c>
      <c r="B37" s="4">
        <v>3966</v>
      </c>
      <c r="C37" s="4" t="s">
        <v>439</v>
      </c>
      <c r="D37" s="155">
        <v>46001</v>
      </c>
      <c r="E37" s="37">
        <v>55.8</v>
      </c>
      <c r="F37" s="4"/>
    </row>
    <row r="38" spans="1:6" ht="15.75" customHeight="1" x14ac:dyDescent="0.25">
      <c r="A38" s="155">
        <v>45971</v>
      </c>
      <c r="B38" s="4">
        <v>25783</v>
      </c>
      <c r="C38" s="4" t="s">
        <v>440</v>
      </c>
      <c r="D38" s="155">
        <v>46001</v>
      </c>
      <c r="E38" s="37">
        <v>423.25</v>
      </c>
      <c r="F38" s="4"/>
    </row>
    <row r="39" spans="1:6" ht="15.75" customHeight="1" x14ac:dyDescent="0.25">
      <c r="A39" s="155">
        <v>45973</v>
      </c>
      <c r="B39" s="4">
        <v>36460</v>
      </c>
      <c r="C39" s="4" t="s">
        <v>425</v>
      </c>
      <c r="D39" s="155">
        <v>46003</v>
      </c>
      <c r="E39" s="37" t="s">
        <v>441</v>
      </c>
      <c r="F39" s="4"/>
    </row>
    <row r="40" spans="1:6" ht="15.75" customHeight="1" x14ac:dyDescent="0.25">
      <c r="A40" s="155">
        <v>45972</v>
      </c>
      <c r="B40" s="4">
        <v>45554</v>
      </c>
      <c r="C40" s="4" t="s">
        <v>442</v>
      </c>
      <c r="D40" s="155">
        <v>46002</v>
      </c>
      <c r="E40" s="37">
        <v>1140</v>
      </c>
      <c r="F40" s="4"/>
    </row>
    <row r="41" spans="1:6" ht="15.75" customHeight="1" x14ac:dyDescent="0.25">
      <c r="A41" s="155">
        <v>45974</v>
      </c>
      <c r="B41" s="4">
        <v>400158</v>
      </c>
      <c r="C41" s="4" t="s">
        <v>443</v>
      </c>
      <c r="D41" s="155">
        <v>46004</v>
      </c>
      <c r="E41" s="37">
        <v>60.3</v>
      </c>
      <c r="F41" s="4"/>
    </row>
    <row r="42" spans="1:6" ht="15.75" customHeight="1" x14ac:dyDescent="0.25">
      <c r="A42" s="155">
        <v>46004</v>
      </c>
      <c r="B42" s="4">
        <v>601</v>
      </c>
      <c r="C42" s="4" t="s">
        <v>444</v>
      </c>
      <c r="D42" s="155">
        <v>46004</v>
      </c>
      <c r="E42" s="37">
        <v>510</v>
      </c>
      <c r="F42" s="34"/>
    </row>
    <row r="43" spans="1:6" ht="15.75" customHeight="1" x14ac:dyDescent="0.25">
      <c r="A43" s="155">
        <v>45974</v>
      </c>
      <c r="B43" s="4">
        <v>2257</v>
      </c>
      <c r="C43" s="4" t="s">
        <v>215</v>
      </c>
      <c r="D43" s="155">
        <v>46004</v>
      </c>
      <c r="E43" s="37">
        <v>1458</v>
      </c>
      <c r="F43" s="34"/>
    </row>
    <row r="44" spans="1:6" ht="15.75" customHeight="1" x14ac:dyDescent="0.25">
      <c r="A44" s="155">
        <v>46005</v>
      </c>
      <c r="B44" s="4">
        <v>2241</v>
      </c>
      <c r="C44" s="4" t="s">
        <v>264</v>
      </c>
      <c r="D44" s="155">
        <v>46005</v>
      </c>
      <c r="E44" s="55">
        <v>63.75</v>
      </c>
      <c r="F44" s="34"/>
    </row>
    <row r="45" spans="1:6" ht="15.75" customHeight="1" x14ac:dyDescent="0.25">
      <c r="A45" s="155">
        <v>45974</v>
      </c>
      <c r="B45" s="4">
        <v>210179</v>
      </c>
      <c r="C45" s="4" t="s">
        <v>448</v>
      </c>
      <c r="D45" s="155">
        <v>46004</v>
      </c>
      <c r="E45" s="37">
        <v>130</v>
      </c>
      <c r="F45" s="34"/>
    </row>
    <row r="46" spans="1:6" ht="15.75" customHeight="1" x14ac:dyDescent="0.25">
      <c r="A46" s="155">
        <v>45973</v>
      </c>
      <c r="B46" s="4">
        <v>31</v>
      </c>
      <c r="C46" s="4" t="s">
        <v>69</v>
      </c>
      <c r="D46" s="155">
        <v>46004</v>
      </c>
      <c r="E46" s="37">
        <v>1770</v>
      </c>
      <c r="F46" s="34"/>
    </row>
    <row r="47" spans="1:6" ht="15.75" customHeight="1" x14ac:dyDescent="0.25">
      <c r="A47" s="155">
        <v>46008</v>
      </c>
      <c r="B47" s="4">
        <v>36704</v>
      </c>
      <c r="C47" s="4" t="s">
        <v>6</v>
      </c>
      <c r="D47" s="155">
        <v>46008</v>
      </c>
      <c r="E47" s="37">
        <v>225</v>
      </c>
      <c r="F47" s="34"/>
    </row>
    <row r="48" spans="1:6" ht="15.75" customHeight="1" x14ac:dyDescent="0.25">
      <c r="A48" s="155">
        <v>46008</v>
      </c>
      <c r="B48" s="4">
        <v>36738</v>
      </c>
      <c r="C48" s="4" t="s">
        <v>6</v>
      </c>
      <c r="D48" s="155">
        <v>46008</v>
      </c>
      <c r="E48" s="37">
        <v>42</v>
      </c>
      <c r="F48" s="34"/>
    </row>
    <row r="49" spans="1:6" ht="15.75" customHeight="1" x14ac:dyDescent="0.25">
      <c r="A49" s="155">
        <v>45978</v>
      </c>
      <c r="B49" s="4">
        <v>691</v>
      </c>
      <c r="C49" s="4" t="s">
        <v>450</v>
      </c>
      <c r="D49" s="155">
        <v>46008</v>
      </c>
      <c r="E49" s="37">
        <v>158.9</v>
      </c>
      <c r="F49" s="34"/>
    </row>
    <row r="50" spans="1:6" ht="15.75" customHeight="1" x14ac:dyDescent="0.25">
      <c r="A50" s="155">
        <v>45978</v>
      </c>
      <c r="B50" s="4">
        <v>39564</v>
      </c>
      <c r="C50" s="4" t="s">
        <v>451</v>
      </c>
      <c r="D50" s="155">
        <v>46008</v>
      </c>
      <c r="E50" s="37">
        <v>408</v>
      </c>
      <c r="F50" s="34"/>
    </row>
    <row r="51" spans="1:6" ht="15.75" customHeight="1" x14ac:dyDescent="0.25">
      <c r="A51" s="155">
        <v>46009</v>
      </c>
      <c r="B51" s="4">
        <v>36826</v>
      </c>
      <c r="C51" s="4" t="s">
        <v>425</v>
      </c>
      <c r="D51" s="155">
        <v>46009</v>
      </c>
      <c r="E51" s="37">
        <v>339</v>
      </c>
      <c r="F51" s="34"/>
    </row>
    <row r="52" spans="1:6" ht="15.75" customHeight="1" x14ac:dyDescent="0.25">
      <c r="A52" s="155">
        <v>45975</v>
      </c>
      <c r="B52" s="4">
        <v>5654</v>
      </c>
      <c r="C52" s="4" t="s">
        <v>453</v>
      </c>
      <c r="D52" s="155">
        <v>46005</v>
      </c>
      <c r="E52" s="37">
        <v>446.4</v>
      </c>
      <c r="F52" s="34"/>
    </row>
    <row r="53" spans="1:6" ht="15.75" customHeight="1" x14ac:dyDescent="0.25">
      <c r="A53" s="155">
        <v>45980</v>
      </c>
      <c r="B53" s="4" t="s">
        <v>455</v>
      </c>
      <c r="C53" s="4" t="s">
        <v>456</v>
      </c>
      <c r="D53" s="155">
        <v>46010</v>
      </c>
      <c r="E53" s="37">
        <v>750</v>
      </c>
      <c r="F53" s="34"/>
    </row>
    <row r="54" spans="1:6" ht="15.75" customHeight="1" x14ac:dyDescent="0.25">
      <c r="A54" s="155">
        <v>45980</v>
      </c>
      <c r="B54" s="4">
        <v>2580</v>
      </c>
      <c r="C54" s="4" t="s">
        <v>215</v>
      </c>
      <c r="D54" s="155">
        <v>46010</v>
      </c>
      <c r="E54" s="37">
        <v>627</v>
      </c>
      <c r="F54" s="34"/>
    </row>
    <row r="55" spans="1:6" ht="15.75" customHeight="1" x14ac:dyDescent="0.25">
      <c r="A55" s="155">
        <v>45980</v>
      </c>
      <c r="B55" s="4">
        <v>25922</v>
      </c>
      <c r="C55" s="4" t="s">
        <v>462</v>
      </c>
      <c r="D55" s="155">
        <v>46010</v>
      </c>
      <c r="E55" s="37">
        <v>154.80000000000001</v>
      </c>
      <c r="F55" s="34"/>
    </row>
    <row r="56" spans="1:6" ht="15.75" customHeight="1" x14ac:dyDescent="0.25">
      <c r="A56" s="155">
        <v>45980</v>
      </c>
      <c r="B56" s="4">
        <v>25905</v>
      </c>
      <c r="C56" s="4" t="s">
        <v>462</v>
      </c>
      <c r="D56" s="155">
        <v>46010</v>
      </c>
      <c r="E56" s="37">
        <v>414</v>
      </c>
      <c r="F56" s="34"/>
    </row>
    <row r="57" spans="1:6" ht="15.75" customHeight="1" x14ac:dyDescent="0.25">
      <c r="A57" s="155">
        <v>45980</v>
      </c>
      <c r="B57" s="4">
        <v>21456</v>
      </c>
      <c r="C57" s="4" t="s">
        <v>464</v>
      </c>
      <c r="D57" s="155">
        <v>46010</v>
      </c>
      <c r="E57" s="37">
        <v>221</v>
      </c>
      <c r="F57" s="34"/>
    </row>
    <row r="58" spans="1:6" ht="15.75" customHeight="1" x14ac:dyDescent="0.25">
      <c r="A58" s="155">
        <v>46011</v>
      </c>
      <c r="B58" s="4">
        <v>13</v>
      </c>
      <c r="C58" s="4" t="s">
        <v>262</v>
      </c>
      <c r="D58" s="155">
        <v>46011</v>
      </c>
      <c r="E58" s="37">
        <v>275</v>
      </c>
      <c r="F58" s="34"/>
    </row>
    <row r="59" spans="1:6" ht="15.75" customHeight="1" x14ac:dyDescent="0.25">
      <c r="A59" s="155">
        <v>45982</v>
      </c>
      <c r="B59" s="4">
        <v>24521</v>
      </c>
      <c r="C59" s="4" t="s">
        <v>434</v>
      </c>
      <c r="D59" s="155">
        <v>46012</v>
      </c>
      <c r="E59" s="37">
        <v>79.95</v>
      </c>
      <c r="F59" s="34"/>
    </row>
    <row r="60" spans="1:6" ht="15.75" customHeight="1" x14ac:dyDescent="0.25">
      <c r="A60" s="155">
        <v>45985</v>
      </c>
      <c r="B60" s="4">
        <v>45872</v>
      </c>
      <c r="C60" s="4" t="s">
        <v>442</v>
      </c>
      <c r="D60" s="155">
        <v>46015</v>
      </c>
      <c r="E60" s="37">
        <v>360</v>
      </c>
      <c r="F60" s="34"/>
    </row>
    <row r="61" spans="1:6" ht="15.75" customHeight="1" x14ac:dyDescent="0.25">
      <c r="A61" s="155">
        <v>45985</v>
      </c>
      <c r="B61" s="4">
        <v>4132</v>
      </c>
      <c r="C61" s="4" t="s">
        <v>439</v>
      </c>
      <c r="D61" s="155">
        <v>46015</v>
      </c>
      <c r="E61" s="37">
        <v>164</v>
      </c>
      <c r="F61" s="34"/>
    </row>
    <row r="62" spans="1:6" ht="15.75" customHeight="1" x14ac:dyDescent="0.25">
      <c r="A62" s="155">
        <v>45986</v>
      </c>
      <c r="B62" s="4">
        <v>19603</v>
      </c>
      <c r="C62" s="4" t="s">
        <v>424</v>
      </c>
      <c r="D62" s="155">
        <v>46016</v>
      </c>
      <c r="E62" s="37">
        <v>110</v>
      </c>
      <c r="F62" s="34"/>
    </row>
    <row r="63" spans="1:6" ht="15.75" customHeight="1" x14ac:dyDescent="0.25">
      <c r="A63" s="155">
        <v>46016</v>
      </c>
      <c r="B63" s="4">
        <v>19585</v>
      </c>
      <c r="C63" s="4" t="s">
        <v>424</v>
      </c>
      <c r="D63" s="155">
        <v>46016</v>
      </c>
      <c r="E63" s="37">
        <v>550</v>
      </c>
      <c r="F63" s="34"/>
    </row>
    <row r="64" spans="1:6" ht="15.75" customHeight="1" x14ac:dyDescent="0.25">
      <c r="A64" s="155">
        <v>46016</v>
      </c>
      <c r="B64" s="4"/>
      <c r="C64" s="4" t="s">
        <v>477</v>
      </c>
      <c r="D64" s="155">
        <v>46016</v>
      </c>
      <c r="E64" s="37">
        <v>66</v>
      </c>
      <c r="F64" s="34"/>
    </row>
    <row r="65" spans="1:6" ht="15.75" customHeight="1" x14ac:dyDescent="0.25">
      <c r="A65" s="155">
        <v>46016</v>
      </c>
      <c r="B65" s="4">
        <v>4161</v>
      </c>
      <c r="C65" s="4" t="s">
        <v>439</v>
      </c>
      <c r="D65" s="155">
        <v>46016</v>
      </c>
      <c r="E65" s="37">
        <v>79.75</v>
      </c>
      <c r="F65" s="34"/>
    </row>
    <row r="66" spans="1:6" ht="15.75" customHeight="1" x14ac:dyDescent="0.25">
      <c r="A66" s="155">
        <v>46017</v>
      </c>
      <c r="B66" s="4">
        <v>2271</v>
      </c>
      <c r="C66" s="4" t="s">
        <v>215</v>
      </c>
      <c r="D66" s="155">
        <v>46017</v>
      </c>
      <c r="E66" s="37">
        <v>918</v>
      </c>
      <c r="F66" s="34"/>
    </row>
    <row r="67" spans="1:6" ht="15.75" customHeight="1" x14ac:dyDescent="0.25">
      <c r="A67" s="155">
        <v>45988</v>
      </c>
      <c r="B67" s="4">
        <v>26027</v>
      </c>
      <c r="C67" s="4" t="s">
        <v>462</v>
      </c>
      <c r="D67" s="155">
        <v>46018</v>
      </c>
      <c r="E67" s="37">
        <v>477.45</v>
      </c>
      <c r="F67" s="34"/>
    </row>
    <row r="68" spans="1:6" ht="15.75" customHeight="1" x14ac:dyDescent="0.25">
      <c r="A68" s="155">
        <v>46017</v>
      </c>
      <c r="B68" s="4">
        <v>26000</v>
      </c>
      <c r="C68" s="4" t="s">
        <v>462</v>
      </c>
      <c r="D68" s="155">
        <v>46017</v>
      </c>
      <c r="E68" s="37">
        <v>231</v>
      </c>
      <c r="F68" s="34"/>
    </row>
    <row r="69" spans="1:6" ht="15.75" customHeight="1" x14ac:dyDescent="0.25">
      <c r="A69" s="155">
        <v>45989</v>
      </c>
      <c r="B69" s="4">
        <v>24752</v>
      </c>
      <c r="C69" s="4" t="s">
        <v>434</v>
      </c>
      <c r="D69" s="8">
        <v>46019</v>
      </c>
      <c r="E69" s="37">
        <v>49.75</v>
      </c>
      <c r="F69" s="34"/>
    </row>
    <row r="70" spans="1:6" ht="15.75" customHeight="1" x14ac:dyDescent="0.25">
      <c r="A70" s="155">
        <v>46001</v>
      </c>
      <c r="B70" s="78">
        <v>19952</v>
      </c>
      <c r="C70" s="78" t="s">
        <v>424</v>
      </c>
      <c r="D70" s="54">
        <v>46022</v>
      </c>
      <c r="E70" s="55">
        <v>1045</v>
      </c>
      <c r="F70" s="34"/>
    </row>
    <row r="71" spans="1:6" ht="15.75" customHeight="1" x14ac:dyDescent="0.25">
      <c r="B71" s="114"/>
      <c r="C71" s="78"/>
      <c r="D71" s="114"/>
      <c r="E71" s="175"/>
      <c r="F71" s="34"/>
    </row>
    <row r="72" spans="1:6" ht="15.75" customHeight="1" x14ac:dyDescent="0.25">
      <c r="C72" s="4" t="s">
        <v>322</v>
      </c>
      <c r="E72" s="34"/>
      <c r="F72" s="34">
        <v>208.75</v>
      </c>
    </row>
    <row r="73" spans="1:6" ht="15.75" customHeight="1" x14ac:dyDescent="0.25">
      <c r="C73" s="4" t="s">
        <v>323</v>
      </c>
      <c r="E73" s="33"/>
      <c r="F73" s="34">
        <v>5.05</v>
      </c>
    </row>
    <row r="74" spans="1:6" ht="15.75" customHeight="1" x14ac:dyDescent="0.25">
      <c r="C74" s="4" t="s">
        <v>324</v>
      </c>
      <c r="D74" s="8">
        <v>45925</v>
      </c>
      <c r="E74" s="133"/>
      <c r="F74" s="34">
        <v>97</v>
      </c>
    </row>
    <row r="75" spans="1:6" ht="15.75" customHeight="1" x14ac:dyDescent="0.25"/>
    <row r="76" spans="1:6" ht="15.75" customHeight="1" x14ac:dyDescent="0.25"/>
    <row r="77" spans="1:6" ht="15.75" customHeight="1" x14ac:dyDescent="0.25"/>
    <row r="78" spans="1:6" ht="15.75" customHeight="1" x14ac:dyDescent="0.25"/>
    <row r="79" spans="1:6" ht="15.75" customHeight="1" x14ac:dyDescent="0.25"/>
    <row r="80" spans="1:6" ht="15.75" customHeight="1" x14ac:dyDescent="0.25"/>
    <row r="81" spans="5:5" ht="15.75" customHeight="1" x14ac:dyDescent="0.25"/>
    <row r="82" spans="5:5" ht="15.75" customHeight="1" x14ac:dyDescent="0.25"/>
    <row r="83" spans="5:5" ht="15.75" customHeight="1" x14ac:dyDescent="0.25"/>
    <row r="84" spans="5:5" ht="15.75" customHeight="1" x14ac:dyDescent="0.25"/>
    <row r="85" spans="5:5" ht="15.75" customHeight="1" x14ac:dyDescent="0.25"/>
    <row r="86" spans="5:5" ht="15.75" customHeight="1" x14ac:dyDescent="0.25">
      <c r="E86" s="33">
        <f>SUM(E4:E85)</f>
        <v>32930.210000000006</v>
      </c>
    </row>
    <row r="87" spans="5:5" ht="15.75" customHeight="1" x14ac:dyDescent="0.25"/>
    <row r="88" spans="5:5" ht="15.75" customHeight="1" x14ac:dyDescent="0.25"/>
    <row r="89" spans="5:5" ht="15.75" customHeight="1" x14ac:dyDescent="0.25"/>
    <row r="90" spans="5:5" ht="15.75" customHeight="1" x14ac:dyDescent="0.25"/>
    <row r="91" spans="5:5" ht="15.75" customHeight="1" x14ac:dyDescent="0.25"/>
    <row r="92" spans="5:5" ht="15.75" customHeight="1" x14ac:dyDescent="0.25"/>
    <row r="93" spans="5:5" ht="15.75" customHeight="1" x14ac:dyDescent="0.25"/>
    <row r="94" spans="5:5" ht="15.75" customHeight="1" x14ac:dyDescent="0.25"/>
    <row r="95" spans="5:5" ht="15.75" customHeight="1" x14ac:dyDescent="0.25"/>
    <row r="96" spans="5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80"/>
  <sheetViews>
    <sheetView workbookViewId="0"/>
  </sheetViews>
  <sheetFormatPr defaultColWidth="12.5703125" defaultRowHeight="15" customHeight="1" x14ac:dyDescent="0.25"/>
  <cols>
    <col min="2" max="2" width="17.140625" customWidth="1"/>
    <col min="3" max="3" width="29.42578125" customWidth="1"/>
    <col min="4" max="4" width="13.7109375" customWidth="1"/>
    <col min="5" max="5" width="16" customWidth="1"/>
    <col min="6" max="6" width="17.5703125" customWidth="1"/>
    <col min="8" max="8" width="16.1406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>
        <v>46023</v>
      </c>
      <c r="B2" s="22">
        <v>1</v>
      </c>
      <c r="C2" s="23" t="s">
        <v>77</v>
      </c>
      <c r="D2" s="9"/>
      <c r="E2" s="84"/>
      <c r="F2" s="14"/>
      <c r="G2" s="4"/>
      <c r="H2" s="38">
        <v>1</v>
      </c>
    </row>
    <row r="3" spans="1:9" x14ac:dyDescent="0.25">
      <c r="A3" s="17">
        <v>46023</v>
      </c>
      <c r="B3" s="97">
        <v>2</v>
      </c>
      <c r="C3" s="32" t="s">
        <v>259</v>
      </c>
      <c r="D3" s="29"/>
      <c r="E3" s="38"/>
      <c r="F3" s="38"/>
      <c r="G3" s="82"/>
      <c r="H3" s="38">
        <v>1</v>
      </c>
    </row>
    <row r="4" spans="1:9" x14ac:dyDescent="0.25">
      <c r="A4" s="172">
        <v>46361</v>
      </c>
      <c r="B4" s="40">
        <v>4315</v>
      </c>
      <c r="C4" s="40" t="s">
        <v>467</v>
      </c>
      <c r="D4" s="172">
        <v>46026</v>
      </c>
      <c r="E4" s="56">
        <v>131.19999999999999</v>
      </c>
      <c r="F4" s="56"/>
    </row>
    <row r="5" spans="1:9" x14ac:dyDescent="0.25">
      <c r="A5" s="172">
        <v>46359</v>
      </c>
      <c r="B5" s="40">
        <v>4274</v>
      </c>
      <c r="C5" s="40" t="s">
        <v>467</v>
      </c>
      <c r="D5" s="172">
        <v>46024</v>
      </c>
      <c r="E5" s="56">
        <v>183.95</v>
      </c>
      <c r="F5" s="56"/>
    </row>
    <row r="6" spans="1:9" x14ac:dyDescent="0.25">
      <c r="A6" s="172">
        <v>45992</v>
      </c>
      <c r="B6" s="40">
        <v>4222</v>
      </c>
      <c r="C6" s="40" t="s">
        <v>470</v>
      </c>
      <c r="D6" s="172">
        <v>46023</v>
      </c>
      <c r="E6" s="56">
        <v>159.5</v>
      </c>
      <c r="F6" s="56"/>
    </row>
    <row r="7" spans="1:9" x14ac:dyDescent="0.25">
      <c r="A7" s="8">
        <v>45993</v>
      </c>
      <c r="B7" s="4">
        <v>37611</v>
      </c>
      <c r="C7" s="4" t="s">
        <v>472</v>
      </c>
      <c r="D7" s="8">
        <v>46023</v>
      </c>
      <c r="E7" s="34">
        <v>225</v>
      </c>
      <c r="F7" s="34"/>
    </row>
    <row r="8" spans="1:9" x14ac:dyDescent="0.25">
      <c r="A8" s="8">
        <v>45993</v>
      </c>
      <c r="B8" s="4">
        <v>37653</v>
      </c>
      <c r="C8" s="4" t="s">
        <v>472</v>
      </c>
      <c r="D8" s="8">
        <v>46023</v>
      </c>
      <c r="E8" s="34">
        <v>140</v>
      </c>
      <c r="F8" s="34"/>
    </row>
    <row r="9" spans="1:9" x14ac:dyDescent="0.25">
      <c r="A9" s="8">
        <v>45992</v>
      </c>
      <c r="B9" s="4">
        <v>702</v>
      </c>
      <c r="C9" s="4" t="s">
        <v>475</v>
      </c>
      <c r="D9" s="8">
        <v>45669</v>
      </c>
      <c r="E9" s="34">
        <v>248.5</v>
      </c>
      <c r="F9" s="34"/>
    </row>
    <row r="10" spans="1:9" x14ac:dyDescent="0.25">
      <c r="A10" s="8">
        <v>45992</v>
      </c>
      <c r="B10" s="4">
        <v>210484</v>
      </c>
      <c r="C10" s="4" t="s">
        <v>480</v>
      </c>
      <c r="D10" s="8">
        <v>45658</v>
      </c>
      <c r="E10" s="34">
        <v>195</v>
      </c>
      <c r="F10" s="34"/>
    </row>
    <row r="11" spans="1:9" x14ac:dyDescent="0.25">
      <c r="A11" s="8">
        <v>45993</v>
      </c>
      <c r="B11" s="4">
        <v>21506</v>
      </c>
      <c r="C11" s="4" t="s">
        <v>464</v>
      </c>
      <c r="D11" s="8">
        <v>46024</v>
      </c>
      <c r="E11" s="34">
        <v>221</v>
      </c>
      <c r="F11" s="34"/>
    </row>
    <row r="12" spans="1:9" x14ac:dyDescent="0.25">
      <c r="A12" s="8"/>
      <c r="B12" s="140"/>
      <c r="C12" s="4" t="s">
        <v>257</v>
      </c>
      <c r="D12" s="8"/>
      <c r="E12" s="34">
        <v>5000</v>
      </c>
      <c r="F12" s="34"/>
    </row>
    <row r="13" spans="1:9" x14ac:dyDescent="0.25">
      <c r="A13" s="8"/>
      <c r="B13" s="140"/>
      <c r="C13" s="4" t="s">
        <v>175</v>
      </c>
      <c r="D13" s="8">
        <v>46028</v>
      </c>
      <c r="E13" s="34">
        <v>1770.1</v>
      </c>
      <c r="F13" s="34"/>
    </row>
    <row r="14" spans="1:9" x14ac:dyDescent="0.25">
      <c r="A14" s="8"/>
      <c r="B14" s="140"/>
      <c r="C14" s="4" t="s">
        <v>241</v>
      </c>
      <c r="D14" s="8">
        <v>46028</v>
      </c>
      <c r="E14" s="85">
        <v>2120</v>
      </c>
      <c r="F14" s="34"/>
    </row>
    <row r="15" spans="1:9" x14ac:dyDescent="0.25">
      <c r="A15" s="8"/>
      <c r="B15" s="140"/>
      <c r="C15" s="4" t="s">
        <v>244</v>
      </c>
      <c r="D15" s="8">
        <v>46028</v>
      </c>
      <c r="E15" s="85">
        <v>1908</v>
      </c>
      <c r="F15" s="34"/>
    </row>
    <row r="16" spans="1:9" x14ac:dyDescent="0.25">
      <c r="A16" s="8"/>
      <c r="B16" s="140"/>
      <c r="C16" s="4" t="s">
        <v>489</v>
      </c>
      <c r="D16" s="8">
        <v>46028</v>
      </c>
      <c r="E16" s="34">
        <v>1130.5999999999999</v>
      </c>
      <c r="F16" s="34"/>
    </row>
    <row r="17" spans="1:6" x14ac:dyDescent="0.25">
      <c r="A17" s="8">
        <v>46028</v>
      </c>
      <c r="B17" s="140">
        <v>45992</v>
      </c>
      <c r="C17" s="4" t="s">
        <v>492</v>
      </c>
      <c r="D17" s="8">
        <v>46028</v>
      </c>
      <c r="E17" s="34">
        <v>550</v>
      </c>
      <c r="F17" s="34"/>
    </row>
    <row r="18" spans="1:6" x14ac:dyDescent="0.25">
      <c r="A18" s="8">
        <v>46028</v>
      </c>
      <c r="B18" s="140">
        <v>45992</v>
      </c>
      <c r="C18" s="4" t="s">
        <v>494</v>
      </c>
      <c r="D18" s="8">
        <v>46028</v>
      </c>
      <c r="E18" s="34">
        <v>1251.23</v>
      </c>
      <c r="F18" s="34"/>
    </row>
    <row r="19" spans="1:6" x14ac:dyDescent="0.25">
      <c r="A19" s="8">
        <v>46028</v>
      </c>
      <c r="B19" s="140">
        <v>45992</v>
      </c>
      <c r="C19" s="4" t="s">
        <v>113</v>
      </c>
      <c r="D19" s="8">
        <v>45663</v>
      </c>
      <c r="E19" s="34">
        <v>1566.8</v>
      </c>
      <c r="F19" s="34"/>
    </row>
    <row r="20" spans="1:6" x14ac:dyDescent="0.25">
      <c r="A20" s="8">
        <v>46028</v>
      </c>
      <c r="B20" s="140">
        <v>45992</v>
      </c>
      <c r="C20" s="4" t="s">
        <v>123</v>
      </c>
      <c r="D20" s="8">
        <v>45663</v>
      </c>
      <c r="E20" s="34">
        <v>185.52</v>
      </c>
      <c r="F20" s="34"/>
    </row>
    <row r="21" spans="1:6" x14ac:dyDescent="0.25">
      <c r="A21" s="8">
        <v>45663</v>
      </c>
      <c r="B21" s="140">
        <v>45992</v>
      </c>
      <c r="C21" s="4" t="s">
        <v>496</v>
      </c>
      <c r="D21" s="8">
        <v>45663</v>
      </c>
      <c r="E21" s="34">
        <v>197.6</v>
      </c>
      <c r="F21" s="34"/>
    </row>
    <row r="22" spans="1:6" x14ac:dyDescent="0.25">
      <c r="A22" s="8">
        <v>46028</v>
      </c>
      <c r="B22" s="4">
        <v>1085627</v>
      </c>
      <c r="C22" s="4" t="s">
        <v>158</v>
      </c>
      <c r="D22" s="8">
        <v>46028</v>
      </c>
      <c r="E22" s="34">
        <v>375.25</v>
      </c>
      <c r="F22" s="34"/>
    </row>
    <row r="23" spans="1:6" x14ac:dyDescent="0.25">
      <c r="A23" s="8">
        <v>46027</v>
      </c>
      <c r="C23" s="4" t="s">
        <v>245</v>
      </c>
      <c r="D23" s="8">
        <v>46032</v>
      </c>
      <c r="E23" s="34" t="s">
        <v>497</v>
      </c>
      <c r="F23" s="34"/>
    </row>
    <row r="24" spans="1:6" x14ac:dyDescent="0.25">
      <c r="A24" s="8">
        <v>46038</v>
      </c>
      <c r="B24" s="4">
        <v>53923</v>
      </c>
      <c r="C24" s="4" t="s">
        <v>498</v>
      </c>
      <c r="D24" s="8">
        <v>46038</v>
      </c>
      <c r="E24" s="34">
        <v>250</v>
      </c>
      <c r="F24" s="34"/>
    </row>
    <row r="25" spans="1:6" x14ac:dyDescent="0.25">
      <c r="A25" s="8">
        <v>45993</v>
      </c>
      <c r="B25" s="4">
        <v>46121</v>
      </c>
      <c r="C25" s="4" t="s">
        <v>499</v>
      </c>
      <c r="D25" s="8">
        <v>46041</v>
      </c>
      <c r="E25" s="34">
        <v>870</v>
      </c>
      <c r="F25" s="34"/>
    </row>
    <row r="26" spans="1:6" x14ac:dyDescent="0.25">
      <c r="A26" s="8">
        <v>45955</v>
      </c>
      <c r="B26" s="4">
        <v>33559</v>
      </c>
      <c r="C26" s="4" t="s">
        <v>472</v>
      </c>
      <c r="D26" s="8">
        <v>46023</v>
      </c>
      <c r="E26" s="34">
        <v>257.39999999999998</v>
      </c>
      <c r="F26" s="34"/>
    </row>
    <row r="27" spans="1:6" x14ac:dyDescent="0.25">
      <c r="A27" s="8">
        <v>45944</v>
      </c>
      <c r="B27" s="4">
        <v>34707</v>
      </c>
      <c r="C27" s="4" t="s">
        <v>472</v>
      </c>
      <c r="D27" s="8">
        <v>46023</v>
      </c>
      <c r="E27" s="34">
        <v>203.4</v>
      </c>
      <c r="F27" s="34"/>
    </row>
    <row r="28" spans="1:6" x14ac:dyDescent="0.25">
      <c r="A28" s="8">
        <v>45996</v>
      </c>
      <c r="B28" s="4">
        <v>36042</v>
      </c>
      <c r="C28" s="4" t="s">
        <v>472</v>
      </c>
      <c r="D28" s="8">
        <v>46023</v>
      </c>
      <c r="E28" s="34">
        <v>175</v>
      </c>
      <c r="F28" s="34"/>
    </row>
    <row r="29" spans="1:6" x14ac:dyDescent="0.25">
      <c r="A29" s="8">
        <v>45971</v>
      </c>
      <c r="B29" s="4">
        <v>36244</v>
      </c>
      <c r="C29" s="4" t="s">
        <v>472</v>
      </c>
      <c r="D29" s="8">
        <v>46023</v>
      </c>
      <c r="E29" s="34">
        <v>57.5</v>
      </c>
      <c r="F29" s="34"/>
    </row>
    <row r="30" spans="1:6" x14ac:dyDescent="0.25">
      <c r="A30" s="8">
        <v>45993</v>
      </c>
      <c r="B30" s="4">
        <v>37695</v>
      </c>
      <c r="C30" s="4" t="s">
        <v>472</v>
      </c>
      <c r="D30" s="8">
        <v>46024</v>
      </c>
      <c r="E30" s="34">
        <v>339</v>
      </c>
      <c r="F30" s="34"/>
    </row>
    <row r="31" spans="1:6" x14ac:dyDescent="0.25">
      <c r="A31" s="8">
        <v>45994</v>
      </c>
      <c r="B31" s="4">
        <v>37829</v>
      </c>
      <c r="C31" s="4" t="s">
        <v>472</v>
      </c>
      <c r="D31" s="8" t="s">
        <v>500</v>
      </c>
      <c r="E31" s="34">
        <v>85</v>
      </c>
      <c r="F31" s="34"/>
    </row>
    <row r="32" spans="1:6" x14ac:dyDescent="0.25">
      <c r="A32" s="8">
        <v>45994</v>
      </c>
      <c r="B32" s="4">
        <v>37844</v>
      </c>
      <c r="C32" s="4" t="s">
        <v>472</v>
      </c>
      <c r="D32" s="8">
        <v>46025</v>
      </c>
      <c r="E32" s="34">
        <v>339</v>
      </c>
      <c r="F32" s="34"/>
    </row>
    <row r="33" spans="1:6" x14ac:dyDescent="0.25">
      <c r="A33" s="8">
        <v>45995</v>
      </c>
      <c r="B33" s="4">
        <v>46237</v>
      </c>
      <c r="C33" s="4" t="s">
        <v>499</v>
      </c>
      <c r="D33" s="8">
        <v>46041</v>
      </c>
      <c r="E33" s="34">
        <v>300</v>
      </c>
      <c r="F33" s="34"/>
    </row>
    <row r="34" spans="1:6" x14ac:dyDescent="0.25">
      <c r="A34" s="8">
        <v>45995</v>
      </c>
      <c r="B34" s="4">
        <v>21518</v>
      </c>
      <c r="C34" s="4" t="s">
        <v>464</v>
      </c>
      <c r="D34" s="8">
        <v>46026</v>
      </c>
      <c r="E34" s="34">
        <v>17.5</v>
      </c>
      <c r="F34" s="34"/>
    </row>
    <row r="35" spans="1:6" x14ac:dyDescent="0.25">
      <c r="A35" s="8">
        <v>45995</v>
      </c>
      <c r="B35" s="4">
        <v>26166</v>
      </c>
      <c r="C35" s="4" t="s">
        <v>462</v>
      </c>
      <c r="D35" s="8">
        <v>46026</v>
      </c>
      <c r="E35" s="34">
        <v>194.8</v>
      </c>
      <c r="F35" s="34"/>
    </row>
    <row r="36" spans="1:6" x14ac:dyDescent="0.25">
      <c r="A36" s="8">
        <v>45995</v>
      </c>
      <c r="B36" s="4">
        <v>67189</v>
      </c>
      <c r="C36" s="4" t="s">
        <v>264</v>
      </c>
      <c r="D36" s="8">
        <v>46026</v>
      </c>
      <c r="E36" s="34">
        <v>7.17</v>
      </c>
      <c r="F36" s="34"/>
    </row>
    <row r="37" spans="1:6" x14ac:dyDescent="0.25">
      <c r="A37" s="8">
        <v>45996</v>
      </c>
      <c r="B37" s="4">
        <v>683</v>
      </c>
      <c r="C37" s="4" t="s">
        <v>501</v>
      </c>
      <c r="D37" s="8">
        <v>46027</v>
      </c>
      <c r="E37" s="34">
        <v>240</v>
      </c>
      <c r="F37" s="34"/>
    </row>
    <row r="38" spans="1:6" x14ac:dyDescent="0.25">
      <c r="A38" s="8">
        <v>45669</v>
      </c>
      <c r="B38" s="4">
        <v>118992</v>
      </c>
      <c r="C38" s="4" t="s">
        <v>502</v>
      </c>
      <c r="D38" s="8">
        <v>46034</v>
      </c>
      <c r="E38" s="34">
        <v>25</v>
      </c>
      <c r="F38" s="34"/>
    </row>
    <row r="39" spans="1:6" x14ac:dyDescent="0.25">
      <c r="A39" s="8">
        <v>45673</v>
      </c>
      <c r="B39" s="4">
        <v>25991</v>
      </c>
      <c r="C39" s="4" t="s">
        <v>434</v>
      </c>
      <c r="D39" s="8">
        <v>46038</v>
      </c>
      <c r="E39" s="34">
        <v>60</v>
      </c>
      <c r="F39" s="34"/>
    </row>
    <row r="40" spans="1:6" x14ac:dyDescent="0.25">
      <c r="A40" s="155">
        <v>46002</v>
      </c>
      <c r="B40" s="78">
        <v>4373</v>
      </c>
      <c r="C40" s="78" t="s">
        <v>470</v>
      </c>
      <c r="D40" s="54">
        <v>46033</v>
      </c>
      <c r="E40" s="85">
        <v>119.6</v>
      </c>
      <c r="F40" s="85"/>
    </row>
    <row r="41" spans="1:6" x14ac:dyDescent="0.25">
      <c r="A41" s="155">
        <v>46003</v>
      </c>
      <c r="B41" s="4">
        <v>2629</v>
      </c>
      <c r="C41" s="4" t="s">
        <v>503</v>
      </c>
      <c r="D41" s="8">
        <v>46034</v>
      </c>
      <c r="E41" s="33"/>
      <c r="F41" s="34">
        <v>1836</v>
      </c>
    </row>
    <row r="42" spans="1:6" x14ac:dyDescent="0.25">
      <c r="A42" s="8">
        <v>46035</v>
      </c>
      <c r="B42" s="140">
        <v>45992</v>
      </c>
      <c r="C42" s="4" t="s">
        <v>398</v>
      </c>
      <c r="D42" s="8">
        <v>45670</v>
      </c>
      <c r="E42" s="176">
        <v>101.38</v>
      </c>
      <c r="F42" s="34"/>
    </row>
    <row r="43" spans="1:6" x14ac:dyDescent="0.25">
      <c r="A43" s="155">
        <v>46006</v>
      </c>
      <c r="B43" s="4">
        <v>46493</v>
      </c>
      <c r="C43" s="4" t="s">
        <v>499</v>
      </c>
      <c r="D43" s="8">
        <v>46037</v>
      </c>
      <c r="E43" s="34">
        <v>890</v>
      </c>
      <c r="F43" s="34"/>
    </row>
    <row r="44" spans="1:6" x14ac:dyDescent="0.25">
      <c r="A44" s="155">
        <v>46003</v>
      </c>
      <c r="B44" s="4">
        <v>38370</v>
      </c>
      <c r="C44" s="4" t="s">
        <v>6</v>
      </c>
      <c r="D44" s="8">
        <v>46033</v>
      </c>
      <c r="E44" s="34">
        <v>225</v>
      </c>
      <c r="F44" s="34"/>
    </row>
    <row r="45" spans="1:6" x14ac:dyDescent="0.25">
      <c r="A45" s="155">
        <v>46009</v>
      </c>
      <c r="B45" s="4">
        <v>25491</v>
      </c>
      <c r="C45" s="4" t="s">
        <v>434</v>
      </c>
      <c r="D45" s="8">
        <v>46040</v>
      </c>
      <c r="E45" s="34">
        <v>90</v>
      </c>
      <c r="F45" s="34"/>
    </row>
    <row r="46" spans="1:6" x14ac:dyDescent="0.25">
      <c r="A46" s="8">
        <v>45680</v>
      </c>
      <c r="B46" s="4">
        <v>2659</v>
      </c>
      <c r="C46" s="4" t="s">
        <v>503</v>
      </c>
      <c r="D46" s="8">
        <v>46045</v>
      </c>
      <c r="E46" s="33"/>
      <c r="F46" s="34">
        <v>5619</v>
      </c>
    </row>
    <row r="47" spans="1:6" x14ac:dyDescent="0.25">
      <c r="A47" s="155">
        <v>46007</v>
      </c>
      <c r="B47" s="4">
        <v>20069</v>
      </c>
      <c r="C47" s="4" t="s">
        <v>504</v>
      </c>
      <c r="D47" s="8">
        <v>46038</v>
      </c>
      <c r="E47" s="34">
        <v>1045</v>
      </c>
      <c r="F47" s="34" t="s">
        <v>505</v>
      </c>
    </row>
    <row r="48" spans="1:6" x14ac:dyDescent="0.25">
      <c r="A48" s="155">
        <v>46013</v>
      </c>
      <c r="B48" s="4">
        <v>20250</v>
      </c>
      <c r="C48" s="4" t="s">
        <v>424</v>
      </c>
      <c r="D48" s="8">
        <v>46044</v>
      </c>
      <c r="E48" s="34">
        <v>1375</v>
      </c>
      <c r="F48" s="34" t="s">
        <v>506</v>
      </c>
    </row>
    <row r="49" spans="1:6" x14ac:dyDescent="0.25">
      <c r="A49" s="155">
        <v>46010</v>
      </c>
      <c r="B49" s="4">
        <v>4460</v>
      </c>
      <c r="C49" s="4" t="s">
        <v>470</v>
      </c>
      <c r="D49" s="8">
        <v>46041</v>
      </c>
      <c r="E49" s="34">
        <v>154.5</v>
      </c>
      <c r="F49" s="34"/>
    </row>
    <row r="50" spans="1:6" x14ac:dyDescent="0.25">
      <c r="A50" s="155">
        <v>46012</v>
      </c>
      <c r="B50" s="4">
        <v>4468</v>
      </c>
      <c r="C50" s="4" t="s">
        <v>470</v>
      </c>
      <c r="D50" s="8">
        <v>46043</v>
      </c>
      <c r="E50" s="34">
        <v>155.30000000000001</v>
      </c>
      <c r="F50" s="34"/>
    </row>
    <row r="51" spans="1:6" x14ac:dyDescent="0.25">
      <c r="A51" s="155">
        <v>46008</v>
      </c>
      <c r="B51" s="4">
        <v>26362</v>
      </c>
      <c r="C51" s="4" t="s">
        <v>462</v>
      </c>
      <c r="D51" s="8">
        <v>46039</v>
      </c>
      <c r="E51" s="34">
        <v>289.89999999999998</v>
      </c>
      <c r="F51" s="34"/>
    </row>
    <row r="52" spans="1:6" x14ac:dyDescent="0.25">
      <c r="A52" s="155">
        <v>46010</v>
      </c>
      <c r="B52" s="4">
        <v>26414</v>
      </c>
      <c r="C52" s="4" t="s">
        <v>462</v>
      </c>
      <c r="D52" s="8">
        <v>46041</v>
      </c>
      <c r="E52" s="34">
        <v>140</v>
      </c>
      <c r="F52" s="34"/>
    </row>
    <row r="53" spans="1:6" x14ac:dyDescent="0.25">
      <c r="A53" s="155">
        <v>46385</v>
      </c>
      <c r="B53" s="4">
        <v>26427</v>
      </c>
      <c r="C53" s="4" t="s">
        <v>462</v>
      </c>
      <c r="D53" s="8">
        <v>46051</v>
      </c>
      <c r="E53" s="34">
        <v>210</v>
      </c>
      <c r="F53" s="34"/>
    </row>
    <row r="54" spans="1:6" x14ac:dyDescent="0.25">
      <c r="A54" s="8">
        <v>46041</v>
      </c>
      <c r="B54" s="177">
        <v>46023</v>
      </c>
      <c r="C54" s="4" t="s">
        <v>178</v>
      </c>
      <c r="D54" s="8">
        <v>46042</v>
      </c>
      <c r="E54" s="34">
        <v>720</v>
      </c>
      <c r="F54" s="34"/>
    </row>
    <row r="55" spans="1:6" x14ac:dyDescent="0.25">
      <c r="A55" s="8">
        <v>46041</v>
      </c>
      <c r="B55" s="81">
        <v>46023</v>
      </c>
      <c r="C55" s="4" t="s">
        <v>507</v>
      </c>
      <c r="D55" s="8">
        <v>46042</v>
      </c>
      <c r="E55" s="34">
        <v>530</v>
      </c>
      <c r="F55" s="34"/>
    </row>
    <row r="56" spans="1:6" x14ac:dyDescent="0.25">
      <c r="A56" s="8">
        <v>46041</v>
      </c>
      <c r="B56" s="140">
        <v>45992</v>
      </c>
      <c r="C56" s="4" t="s">
        <v>275</v>
      </c>
      <c r="D56" s="8">
        <v>46042</v>
      </c>
      <c r="E56" s="34">
        <v>634.1</v>
      </c>
      <c r="F56" s="34"/>
    </row>
    <row r="57" spans="1:6" x14ac:dyDescent="0.25">
      <c r="A57" s="8">
        <v>46041</v>
      </c>
      <c r="B57" s="140">
        <v>45992</v>
      </c>
      <c r="C57" s="4" t="s">
        <v>508</v>
      </c>
      <c r="D57" s="8">
        <v>46042</v>
      </c>
      <c r="E57" s="34">
        <v>387.33</v>
      </c>
      <c r="F57" s="34"/>
    </row>
    <row r="58" spans="1:6" x14ac:dyDescent="0.25">
      <c r="C58" s="4" t="s">
        <v>509</v>
      </c>
      <c r="D58" s="8">
        <v>46042</v>
      </c>
      <c r="E58" s="34">
        <v>200</v>
      </c>
      <c r="F58" s="34"/>
    </row>
    <row r="59" spans="1:6" x14ac:dyDescent="0.25">
      <c r="C59" s="4" t="s">
        <v>510</v>
      </c>
      <c r="D59" s="8">
        <v>46042</v>
      </c>
      <c r="E59" s="34">
        <v>308.10000000000002</v>
      </c>
      <c r="F59" s="34"/>
    </row>
    <row r="60" spans="1:6" x14ac:dyDescent="0.25">
      <c r="A60" s="8">
        <v>46044</v>
      </c>
      <c r="B60" s="4">
        <v>67382</v>
      </c>
      <c r="C60" s="4" t="s">
        <v>264</v>
      </c>
      <c r="D60" s="8">
        <v>46044</v>
      </c>
      <c r="E60" s="34">
        <v>5.7</v>
      </c>
      <c r="F60" s="33"/>
    </row>
    <row r="61" spans="1:6" x14ac:dyDescent="0.25">
      <c r="A61" s="8">
        <v>46048</v>
      </c>
      <c r="B61" s="4">
        <v>67405</v>
      </c>
      <c r="C61" s="4" t="s">
        <v>264</v>
      </c>
      <c r="D61" s="8">
        <v>46048</v>
      </c>
      <c r="E61" s="4">
        <v>4.9400000000000004</v>
      </c>
      <c r="F61" s="33"/>
    </row>
    <row r="62" spans="1:6" x14ac:dyDescent="0.25">
      <c r="F62" s="33"/>
    </row>
    <row r="63" spans="1:6" x14ac:dyDescent="0.25">
      <c r="F63" s="33"/>
    </row>
    <row r="64" spans="1:6" x14ac:dyDescent="0.25">
      <c r="F64" s="33"/>
    </row>
    <row r="65" spans="5:6" x14ac:dyDescent="0.25">
      <c r="F65" s="33"/>
    </row>
    <row r="66" spans="5:6" x14ac:dyDescent="0.25">
      <c r="F66" s="33"/>
    </row>
    <row r="67" spans="5:6" x14ac:dyDescent="0.25">
      <c r="F67" s="33"/>
    </row>
    <row r="68" spans="5:6" x14ac:dyDescent="0.25">
      <c r="F68" s="33"/>
    </row>
    <row r="69" spans="5:6" x14ac:dyDescent="0.25">
      <c r="F69" s="33"/>
    </row>
    <row r="70" spans="5:6" x14ac:dyDescent="0.25">
      <c r="F70" s="33"/>
    </row>
    <row r="71" spans="5:6" x14ac:dyDescent="0.25">
      <c r="F71" s="33"/>
    </row>
    <row r="72" spans="5:6" x14ac:dyDescent="0.25">
      <c r="F72" s="33"/>
    </row>
    <row r="73" spans="5:6" x14ac:dyDescent="0.25">
      <c r="F73" s="33"/>
    </row>
    <row r="74" spans="5:6" x14ac:dyDescent="0.25">
      <c r="F74" s="33"/>
    </row>
    <row r="75" spans="5:6" x14ac:dyDescent="0.25">
      <c r="F75" s="33"/>
    </row>
    <row r="76" spans="5:6" x14ac:dyDescent="0.25">
      <c r="F76" s="33"/>
    </row>
    <row r="77" spans="5:6" x14ac:dyDescent="0.25">
      <c r="F77" s="33"/>
    </row>
    <row r="78" spans="5:6" x14ac:dyDescent="0.25">
      <c r="F78" s="33"/>
    </row>
    <row r="79" spans="5:6" x14ac:dyDescent="0.25">
      <c r="F79" s="33"/>
    </row>
    <row r="80" spans="5:6" x14ac:dyDescent="0.25">
      <c r="E80" s="33">
        <f t="shared" ref="E80:F80" si="0">SUM(E2:E79)</f>
        <v>28565.87</v>
      </c>
      <c r="F80" s="33">
        <f t="shared" si="0"/>
        <v>7455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86"/>
  <sheetViews>
    <sheetView workbookViewId="0"/>
  </sheetViews>
  <sheetFormatPr defaultColWidth="12.5703125" defaultRowHeight="15" customHeight="1" x14ac:dyDescent="0.25"/>
  <cols>
    <col min="2" max="2" width="17.140625" customWidth="1"/>
    <col min="3" max="3" width="29.42578125" customWidth="1"/>
    <col min="4" max="4" width="13.7109375" customWidth="1"/>
    <col min="5" max="5" width="16" customWidth="1"/>
    <col min="6" max="6" width="17.5703125" customWidth="1"/>
    <col min="8" max="8" width="15.42578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7" t="s">
        <v>511</v>
      </c>
      <c r="H1" s="5" t="s">
        <v>19</v>
      </c>
      <c r="I1" s="5" t="s">
        <v>23</v>
      </c>
    </row>
    <row r="2" spans="1:9" x14ac:dyDescent="0.25">
      <c r="A2" s="17">
        <v>46054</v>
      </c>
      <c r="B2" s="22">
        <v>1</v>
      </c>
      <c r="C2" s="23" t="s">
        <v>77</v>
      </c>
      <c r="D2" s="9"/>
      <c r="E2" s="84"/>
      <c r="F2" s="150"/>
      <c r="G2" s="4"/>
      <c r="H2" s="38">
        <v>0.01</v>
      </c>
    </row>
    <row r="3" spans="1:9" x14ac:dyDescent="0.25">
      <c r="A3" s="17">
        <v>46054</v>
      </c>
      <c r="B3" s="97">
        <v>2</v>
      </c>
      <c r="C3" s="32" t="s">
        <v>259</v>
      </c>
      <c r="D3" s="29"/>
      <c r="E3" s="38"/>
      <c r="F3" s="38"/>
      <c r="G3" s="82"/>
      <c r="H3" s="38">
        <v>0.01</v>
      </c>
    </row>
    <row r="4" spans="1:9" x14ac:dyDescent="0.25">
      <c r="A4" s="8">
        <v>46027</v>
      </c>
      <c r="B4" s="4">
        <v>4491</v>
      </c>
      <c r="C4" s="4" t="s">
        <v>467</v>
      </c>
      <c r="D4" s="8">
        <v>46057</v>
      </c>
      <c r="E4" s="34">
        <v>319</v>
      </c>
      <c r="F4" s="34"/>
    </row>
    <row r="5" spans="1:9" x14ac:dyDescent="0.25">
      <c r="A5" s="8">
        <v>46027</v>
      </c>
      <c r="B5" s="4">
        <v>38910</v>
      </c>
      <c r="C5" s="4" t="s">
        <v>472</v>
      </c>
      <c r="D5" s="8">
        <v>46057</v>
      </c>
      <c r="E5" s="34">
        <v>243</v>
      </c>
      <c r="F5" s="34"/>
    </row>
    <row r="6" spans="1:9" x14ac:dyDescent="0.25">
      <c r="A6" s="8">
        <v>46027</v>
      </c>
      <c r="B6" s="4">
        <v>38876</v>
      </c>
      <c r="C6" s="4" t="s">
        <v>472</v>
      </c>
      <c r="D6" s="8">
        <v>46057</v>
      </c>
      <c r="E6" s="34">
        <v>203.4</v>
      </c>
      <c r="F6" s="34"/>
    </row>
    <row r="7" spans="1:9" x14ac:dyDescent="0.25">
      <c r="A7" s="8">
        <v>46027</v>
      </c>
      <c r="B7" s="4">
        <v>4485</v>
      </c>
      <c r="C7" s="4" t="s">
        <v>512</v>
      </c>
      <c r="D7" s="8">
        <v>46057</v>
      </c>
      <c r="E7" s="34">
        <v>198.75</v>
      </c>
      <c r="F7" s="34"/>
    </row>
    <row r="8" spans="1:9" x14ac:dyDescent="0.25">
      <c r="A8" s="8">
        <v>46027</v>
      </c>
      <c r="B8" s="4">
        <v>25603</v>
      </c>
      <c r="C8" s="4" t="s">
        <v>513</v>
      </c>
      <c r="D8" s="8" t="s">
        <v>514</v>
      </c>
      <c r="E8" s="34">
        <v>126.15</v>
      </c>
      <c r="F8" s="34"/>
    </row>
    <row r="9" spans="1:9" x14ac:dyDescent="0.25">
      <c r="A9" s="8">
        <v>46028</v>
      </c>
      <c r="B9" s="4">
        <v>38973</v>
      </c>
      <c r="C9" s="4" t="s">
        <v>472</v>
      </c>
      <c r="D9" s="8">
        <v>46058</v>
      </c>
      <c r="E9" s="34">
        <v>89</v>
      </c>
      <c r="F9" s="34"/>
    </row>
    <row r="10" spans="1:9" x14ac:dyDescent="0.25">
      <c r="A10" s="8">
        <v>46029</v>
      </c>
      <c r="B10" s="4">
        <v>39010</v>
      </c>
      <c r="C10" s="4" t="s">
        <v>472</v>
      </c>
      <c r="D10" s="8">
        <v>46059</v>
      </c>
      <c r="E10" s="34">
        <v>66</v>
      </c>
      <c r="F10" s="34"/>
    </row>
    <row r="11" spans="1:9" x14ac:dyDescent="0.25">
      <c r="A11" s="8"/>
      <c r="B11" s="4"/>
      <c r="C11" s="4" t="s">
        <v>257</v>
      </c>
      <c r="D11" s="54"/>
      <c r="E11" s="70">
        <v>3500</v>
      </c>
      <c r="F11" s="70"/>
    </row>
    <row r="12" spans="1:9" x14ac:dyDescent="0.25">
      <c r="A12" s="8"/>
      <c r="B12" s="4"/>
      <c r="C12" s="4" t="s">
        <v>175</v>
      </c>
      <c r="D12" s="8"/>
      <c r="E12" s="85">
        <v>2400</v>
      </c>
      <c r="F12" s="85"/>
    </row>
    <row r="13" spans="1:9" x14ac:dyDescent="0.25">
      <c r="A13" s="8"/>
      <c r="B13" s="4"/>
      <c r="C13" s="4" t="s">
        <v>241</v>
      </c>
      <c r="D13" s="8"/>
      <c r="E13" s="85">
        <v>2120</v>
      </c>
      <c r="F13" s="85"/>
    </row>
    <row r="14" spans="1:9" x14ac:dyDescent="0.25">
      <c r="A14" s="8"/>
      <c r="B14" s="4"/>
      <c r="C14" s="4" t="s">
        <v>244</v>
      </c>
      <c r="D14" s="8"/>
      <c r="E14" s="85">
        <v>2000</v>
      </c>
      <c r="F14" s="85"/>
    </row>
    <row r="15" spans="1:9" x14ac:dyDescent="0.25">
      <c r="A15" s="8"/>
      <c r="B15" s="4"/>
      <c r="C15" s="4" t="s">
        <v>489</v>
      </c>
      <c r="D15" s="8"/>
      <c r="E15" s="85"/>
      <c r="F15" s="85"/>
    </row>
    <row r="16" spans="1:9" x14ac:dyDescent="0.25">
      <c r="A16" s="8"/>
      <c r="B16" s="4"/>
      <c r="C16" s="4" t="s">
        <v>390</v>
      </c>
      <c r="D16" s="54"/>
      <c r="E16" s="85">
        <v>1448.6</v>
      </c>
      <c r="F16" s="85"/>
    </row>
    <row r="17" spans="1:7" x14ac:dyDescent="0.25">
      <c r="A17" s="8"/>
      <c r="B17" s="4"/>
      <c r="C17" s="4" t="s">
        <v>251</v>
      </c>
      <c r="D17" s="54"/>
      <c r="E17" s="85">
        <v>135</v>
      </c>
      <c r="F17" s="85"/>
    </row>
    <row r="18" spans="1:7" x14ac:dyDescent="0.25">
      <c r="A18" s="8"/>
      <c r="B18" s="4"/>
      <c r="C18" s="4" t="s">
        <v>123</v>
      </c>
      <c r="D18" s="54"/>
      <c r="E18" s="85"/>
      <c r="F18" s="85"/>
    </row>
    <row r="19" spans="1:7" x14ac:dyDescent="0.25">
      <c r="A19" s="8"/>
      <c r="B19" s="4"/>
      <c r="C19" s="4" t="s">
        <v>245</v>
      </c>
      <c r="D19" s="54"/>
      <c r="E19" s="85">
        <v>800</v>
      </c>
      <c r="F19" s="85"/>
    </row>
    <row r="20" spans="1:7" x14ac:dyDescent="0.25">
      <c r="A20" s="8"/>
      <c r="B20" s="4"/>
      <c r="C20" s="4" t="s">
        <v>391</v>
      </c>
      <c r="D20" s="54"/>
      <c r="E20" s="34">
        <v>580.44000000000005</v>
      </c>
      <c r="F20" s="34"/>
    </row>
    <row r="21" spans="1:7" x14ac:dyDescent="0.25">
      <c r="A21" s="8"/>
      <c r="B21" s="4"/>
      <c r="C21" s="78" t="s">
        <v>509</v>
      </c>
      <c r="D21" s="8"/>
      <c r="E21" s="34">
        <v>350</v>
      </c>
      <c r="F21" s="34"/>
    </row>
    <row r="22" spans="1:7" x14ac:dyDescent="0.25">
      <c r="A22" s="8"/>
      <c r="B22" s="4"/>
      <c r="C22" s="78" t="s">
        <v>392</v>
      </c>
      <c r="D22" s="8"/>
      <c r="E22" s="85"/>
      <c r="F22" s="85"/>
    </row>
    <row r="23" spans="1:7" x14ac:dyDescent="0.25">
      <c r="A23" s="8"/>
      <c r="B23" s="4"/>
      <c r="C23" s="78" t="s">
        <v>248</v>
      </c>
      <c r="D23" s="8"/>
      <c r="E23" s="85"/>
      <c r="F23" s="85"/>
    </row>
    <row r="24" spans="1:7" x14ac:dyDescent="0.25">
      <c r="A24" s="8">
        <v>46029</v>
      </c>
      <c r="B24" s="4">
        <v>25688</v>
      </c>
      <c r="C24" s="4" t="s">
        <v>434</v>
      </c>
      <c r="D24" s="8">
        <v>46060</v>
      </c>
      <c r="E24" s="34">
        <v>117.5</v>
      </c>
      <c r="F24" s="34"/>
    </row>
    <row r="25" spans="1:7" x14ac:dyDescent="0.25">
      <c r="A25" s="8">
        <v>46029</v>
      </c>
      <c r="B25" s="4">
        <v>25673</v>
      </c>
      <c r="C25" s="4" t="s">
        <v>434</v>
      </c>
      <c r="D25" s="8">
        <v>46060</v>
      </c>
      <c r="E25" s="34">
        <v>587</v>
      </c>
      <c r="F25" s="34"/>
    </row>
    <row r="26" spans="1:7" x14ac:dyDescent="0.25">
      <c r="A26" s="8">
        <v>46030</v>
      </c>
      <c r="B26" s="140"/>
      <c r="C26" s="4" t="s">
        <v>125</v>
      </c>
      <c r="D26" s="8">
        <v>46061</v>
      </c>
      <c r="E26" s="34">
        <v>2.85</v>
      </c>
      <c r="F26" s="34"/>
    </row>
    <row r="27" spans="1:7" x14ac:dyDescent="0.25">
      <c r="A27" s="8">
        <v>46035</v>
      </c>
      <c r="B27" s="4">
        <v>211005</v>
      </c>
      <c r="C27" s="4" t="s">
        <v>382</v>
      </c>
      <c r="D27" s="8">
        <v>46065</v>
      </c>
      <c r="E27" s="34">
        <v>130</v>
      </c>
      <c r="F27" s="34"/>
    </row>
    <row r="28" spans="1:7" x14ac:dyDescent="0.25">
      <c r="A28" s="8">
        <v>46035</v>
      </c>
      <c r="B28" s="81">
        <v>46023</v>
      </c>
      <c r="C28" s="4" t="s">
        <v>163</v>
      </c>
      <c r="D28" s="8">
        <v>46066</v>
      </c>
      <c r="E28" s="34">
        <v>53.08</v>
      </c>
      <c r="F28" s="34"/>
    </row>
    <row r="29" spans="1:7" x14ac:dyDescent="0.25">
      <c r="A29" s="8">
        <v>46373</v>
      </c>
      <c r="B29" s="4">
        <v>26369</v>
      </c>
      <c r="C29" s="4" t="s">
        <v>193</v>
      </c>
      <c r="D29" s="8">
        <v>46039</v>
      </c>
      <c r="E29" s="34">
        <v>266</v>
      </c>
      <c r="F29" s="34"/>
      <c r="G29" s="4"/>
    </row>
    <row r="30" spans="1:7" x14ac:dyDescent="0.25">
      <c r="A30" s="8">
        <v>46036</v>
      </c>
      <c r="B30" s="4">
        <v>26524</v>
      </c>
      <c r="C30" s="4" t="s">
        <v>193</v>
      </c>
      <c r="D30" s="8">
        <v>46067</v>
      </c>
      <c r="E30" s="34">
        <v>221.4</v>
      </c>
      <c r="F30" s="34"/>
      <c r="G30" s="4"/>
    </row>
    <row r="31" spans="1:7" x14ac:dyDescent="0.25">
      <c r="A31" s="8">
        <v>46038</v>
      </c>
      <c r="B31" s="81">
        <v>46023</v>
      </c>
      <c r="C31" s="4" t="s">
        <v>515</v>
      </c>
      <c r="D31" s="8">
        <v>46069</v>
      </c>
      <c r="E31" s="34">
        <v>109.99</v>
      </c>
      <c r="F31" s="34"/>
    </row>
    <row r="32" spans="1:7" x14ac:dyDescent="0.25">
      <c r="A32" s="8">
        <v>46041</v>
      </c>
      <c r="B32" s="4">
        <v>46942</v>
      </c>
      <c r="C32" s="4" t="s">
        <v>36</v>
      </c>
      <c r="D32" s="8">
        <v>46072</v>
      </c>
      <c r="E32" s="34"/>
      <c r="F32" s="34">
        <v>760</v>
      </c>
    </row>
    <row r="33" spans="1:6" x14ac:dyDescent="0.25">
      <c r="A33" s="8">
        <v>46041</v>
      </c>
      <c r="B33" s="4">
        <v>26581</v>
      </c>
      <c r="C33" s="4" t="s">
        <v>193</v>
      </c>
      <c r="D33" s="8">
        <v>45707</v>
      </c>
      <c r="E33" s="34">
        <v>203</v>
      </c>
      <c r="F33" s="34"/>
    </row>
    <row r="34" spans="1:6" x14ac:dyDescent="0.25">
      <c r="A34" s="8">
        <v>46051</v>
      </c>
      <c r="B34" s="4">
        <v>39949</v>
      </c>
      <c r="C34" s="4" t="s">
        <v>516</v>
      </c>
      <c r="D34" s="4" t="s">
        <v>517</v>
      </c>
      <c r="E34" s="34">
        <v>306</v>
      </c>
      <c r="F34" s="34"/>
    </row>
    <row r="35" spans="1:6" x14ac:dyDescent="0.25">
      <c r="A35" s="8">
        <v>46057</v>
      </c>
      <c r="B35" s="4">
        <v>40007</v>
      </c>
      <c r="C35" s="4" t="s">
        <v>516</v>
      </c>
      <c r="D35" s="8">
        <v>46085</v>
      </c>
      <c r="E35" s="34">
        <v>102</v>
      </c>
      <c r="F35" s="34"/>
    </row>
    <row r="36" spans="1:6" x14ac:dyDescent="0.25">
      <c r="A36" s="8"/>
      <c r="B36" s="4"/>
      <c r="C36" s="4"/>
      <c r="D36" s="8"/>
      <c r="E36" s="33"/>
      <c r="F36" s="34"/>
    </row>
    <row r="37" spans="1:6" x14ac:dyDescent="0.25">
      <c r="A37" s="8"/>
      <c r="B37" s="4"/>
      <c r="C37" s="4"/>
      <c r="D37" s="8"/>
      <c r="E37" s="33"/>
      <c r="F37" s="34"/>
    </row>
    <row r="38" spans="1:6" x14ac:dyDescent="0.25">
      <c r="A38" s="8"/>
      <c r="B38" s="4"/>
      <c r="C38" s="4"/>
      <c r="D38" s="8"/>
      <c r="E38" s="33"/>
      <c r="F38" s="34"/>
    </row>
    <row r="39" spans="1:6" x14ac:dyDescent="0.25">
      <c r="A39" s="8"/>
      <c r="B39" s="4"/>
      <c r="C39" s="4"/>
      <c r="D39" s="8"/>
      <c r="E39" s="33"/>
      <c r="F39" s="34"/>
    </row>
    <row r="40" spans="1:6" x14ac:dyDescent="0.25">
      <c r="A40" s="8"/>
      <c r="B40" s="4"/>
      <c r="C40" s="4"/>
      <c r="D40" s="8"/>
      <c r="E40" s="34"/>
      <c r="F40" s="34"/>
    </row>
    <row r="41" spans="1:6" x14ac:dyDescent="0.25">
      <c r="A41" s="8"/>
      <c r="B41" s="4"/>
      <c r="C41" s="4"/>
      <c r="D41" s="8"/>
      <c r="E41" s="34"/>
      <c r="F41" s="34"/>
    </row>
    <row r="42" spans="1:6" x14ac:dyDescent="0.25">
      <c r="A42" s="8"/>
      <c r="B42" s="4"/>
      <c r="C42" s="4"/>
      <c r="D42" s="8"/>
      <c r="E42" s="33"/>
      <c r="F42" s="34"/>
    </row>
    <row r="43" spans="1:6" x14ac:dyDescent="0.25">
      <c r="A43" s="8"/>
      <c r="B43" s="4"/>
      <c r="C43" s="4"/>
      <c r="D43" s="8"/>
      <c r="E43" s="33"/>
      <c r="F43" s="34"/>
    </row>
    <row r="44" spans="1:6" x14ac:dyDescent="0.25">
      <c r="A44" s="8"/>
      <c r="B44" s="4"/>
      <c r="C44" s="4"/>
      <c r="D44" s="8"/>
      <c r="E44" s="33"/>
      <c r="F44" s="34"/>
    </row>
    <row r="45" spans="1:6" x14ac:dyDescent="0.25">
      <c r="A45" s="155"/>
      <c r="B45" s="4"/>
      <c r="C45" s="4"/>
      <c r="D45" s="8"/>
      <c r="E45" s="34"/>
      <c r="F45" s="34"/>
    </row>
    <row r="46" spans="1:6" x14ac:dyDescent="0.25">
      <c r="A46" s="155"/>
      <c r="B46" s="4"/>
      <c r="C46" s="4"/>
      <c r="D46" s="8"/>
      <c r="E46" s="33"/>
      <c r="F46" s="34"/>
    </row>
    <row r="47" spans="1:6" x14ac:dyDescent="0.25">
      <c r="A47" s="155"/>
      <c r="B47" s="4"/>
      <c r="C47" s="4"/>
      <c r="D47" s="8"/>
      <c r="E47" s="33"/>
      <c r="F47" s="34"/>
    </row>
    <row r="48" spans="1:6" x14ac:dyDescent="0.25">
      <c r="A48" s="8"/>
      <c r="B48" s="140"/>
      <c r="C48" s="4"/>
      <c r="D48" s="8"/>
      <c r="E48" s="176"/>
      <c r="F48" s="34"/>
    </row>
    <row r="49" spans="1:6" x14ac:dyDescent="0.25">
      <c r="A49" s="155"/>
      <c r="B49" s="4"/>
      <c r="C49" s="4"/>
      <c r="D49" s="8"/>
      <c r="E49" s="33"/>
      <c r="F49" s="34"/>
    </row>
    <row r="50" spans="1:6" x14ac:dyDescent="0.25">
      <c r="A50" s="155"/>
      <c r="B50" s="4"/>
      <c r="C50" s="4"/>
      <c r="D50" s="8"/>
      <c r="E50" s="33"/>
      <c r="F50" s="34"/>
    </row>
    <row r="51" spans="1:6" x14ac:dyDescent="0.25">
      <c r="A51" s="155"/>
      <c r="B51" s="4"/>
      <c r="C51" s="4"/>
      <c r="D51" s="8"/>
      <c r="E51" s="33"/>
      <c r="F51" s="34"/>
    </row>
    <row r="52" spans="1:6" x14ac:dyDescent="0.25">
      <c r="A52" s="8"/>
      <c r="B52" s="4"/>
      <c r="C52" s="4"/>
      <c r="D52" s="8"/>
      <c r="E52" s="33"/>
      <c r="F52" s="34"/>
    </row>
    <row r="53" spans="1:6" x14ac:dyDescent="0.25">
      <c r="A53" s="155"/>
      <c r="B53" s="4"/>
      <c r="C53" s="4"/>
      <c r="D53" s="8"/>
      <c r="E53" s="33"/>
      <c r="F53" s="34"/>
    </row>
    <row r="54" spans="1:6" x14ac:dyDescent="0.25">
      <c r="A54" s="155"/>
      <c r="B54" s="4"/>
      <c r="C54" s="4"/>
      <c r="D54" s="8"/>
      <c r="E54" s="33"/>
      <c r="F54" s="34"/>
    </row>
    <row r="55" spans="1:6" x14ac:dyDescent="0.25">
      <c r="A55" s="155"/>
      <c r="B55" s="4"/>
      <c r="C55" s="4"/>
      <c r="D55" s="8"/>
      <c r="E55" s="33"/>
      <c r="F55" s="34"/>
    </row>
    <row r="56" spans="1:6" x14ac:dyDescent="0.25">
      <c r="A56" s="155"/>
      <c r="B56" s="4"/>
      <c r="C56" s="4"/>
      <c r="D56" s="8"/>
      <c r="E56" s="33"/>
      <c r="F56" s="34"/>
    </row>
    <row r="57" spans="1:6" x14ac:dyDescent="0.25">
      <c r="A57" s="155"/>
      <c r="B57" s="4"/>
      <c r="C57" s="4"/>
      <c r="D57" s="8"/>
      <c r="E57" s="33"/>
      <c r="F57" s="34"/>
    </row>
    <row r="58" spans="1:6" x14ac:dyDescent="0.25">
      <c r="A58" s="155"/>
      <c r="B58" s="4"/>
      <c r="C58" s="4"/>
      <c r="D58" s="8"/>
      <c r="E58" s="33"/>
      <c r="F58" s="34"/>
    </row>
    <row r="59" spans="1:6" x14ac:dyDescent="0.25">
      <c r="A59" s="155"/>
      <c r="B59" s="4"/>
      <c r="C59" s="4"/>
      <c r="D59" s="4"/>
      <c r="E59" s="33"/>
      <c r="F59" s="34"/>
    </row>
    <row r="60" spans="1:6" x14ac:dyDescent="0.25">
      <c r="E60" s="33"/>
      <c r="F60" s="33"/>
    </row>
    <row r="61" spans="1:6" x14ac:dyDescent="0.25">
      <c r="E61" s="33"/>
      <c r="F61" s="33"/>
    </row>
    <row r="62" spans="1:6" x14ac:dyDescent="0.25">
      <c r="E62" s="33"/>
      <c r="F62" s="33"/>
    </row>
    <row r="63" spans="1:6" x14ac:dyDescent="0.25">
      <c r="E63" s="33"/>
      <c r="F63" s="33"/>
    </row>
    <row r="64" spans="1:6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F67" s="33"/>
    </row>
    <row r="68" spans="5:6" x14ac:dyDescent="0.25">
      <c r="F68" s="33"/>
    </row>
    <row r="69" spans="5:6" x14ac:dyDescent="0.25">
      <c r="F69" s="33"/>
    </row>
    <row r="70" spans="5:6" x14ac:dyDescent="0.25">
      <c r="F70" s="33"/>
    </row>
    <row r="71" spans="5:6" x14ac:dyDescent="0.25">
      <c r="F71" s="33"/>
    </row>
    <row r="72" spans="5:6" x14ac:dyDescent="0.25">
      <c r="F72" s="33"/>
    </row>
    <row r="73" spans="5:6" x14ac:dyDescent="0.25">
      <c r="F73" s="33"/>
    </row>
    <row r="74" spans="5:6" x14ac:dyDescent="0.25">
      <c r="F74" s="33"/>
    </row>
    <row r="75" spans="5:6" x14ac:dyDescent="0.25">
      <c r="F75" s="33"/>
    </row>
    <row r="76" spans="5:6" x14ac:dyDescent="0.25">
      <c r="F76" s="33"/>
    </row>
    <row r="77" spans="5:6" x14ac:dyDescent="0.25">
      <c r="F77" s="33"/>
    </row>
    <row r="78" spans="5:6" x14ac:dyDescent="0.25">
      <c r="F78" s="33"/>
    </row>
    <row r="79" spans="5:6" x14ac:dyDescent="0.25">
      <c r="E79" s="33">
        <f t="shared" ref="E79:F79" si="0">SUM(E2:E78)</f>
        <v>16678.16</v>
      </c>
      <c r="F79" s="33">
        <f t="shared" si="0"/>
        <v>760</v>
      </c>
    </row>
    <row r="80" spans="5:6" x14ac:dyDescent="0.25">
      <c r="F80" s="33"/>
    </row>
    <row r="81" spans="6:6" x14ac:dyDescent="0.25">
      <c r="F81" s="33"/>
    </row>
    <row r="82" spans="6:6" x14ac:dyDescent="0.25">
      <c r="F82" s="33"/>
    </row>
    <row r="83" spans="6:6" x14ac:dyDescent="0.25">
      <c r="F83" s="33"/>
    </row>
    <row r="84" spans="6:6" x14ac:dyDescent="0.25">
      <c r="F84" s="33"/>
    </row>
    <row r="85" spans="6:6" x14ac:dyDescent="0.25">
      <c r="F85" s="33"/>
    </row>
    <row r="86" spans="6:6" x14ac:dyDescent="0.25">
      <c r="F86" s="33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997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49">
        <v>46066</v>
      </c>
      <c r="B2" s="22">
        <v>4950</v>
      </c>
      <c r="C2" s="23" t="s">
        <v>518</v>
      </c>
      <c r="D2" s="9">
        <v>46096</v>
      </c>
      <c r="E2" s="150">
        <v>176.4</v>
      </c>
      <c r="F2" s="150"/>
      <c r="G2" s="4"/>
      <c r="H2" s="38"/>
    </row>
    <row r="3" spans="1:9" x14ac:dyDescent="0.25">
      <c r="A3" s="17">
        <v>46065</v>
      </c>
      <c r="B3" s="32" t="s">
        <v>519</v>
      </c>
      <c r="C3" s="32" t="s">
        <v>475</v>
      </c>
      <c r="D3" s="29">
        <v>46093</v>
      </c>
      <c r="E3" s="38">
        <v>461.5</v>
      </c>
      <c r="F3" s="38"/>
      <c r="G3" s="82"/>
      <c r="H3" s="38"/>
    </row>
    <row r="4" spans="1:9" x14ac:dyDescent="0.25">
      <c r="A4" s="17">
        <v>46064</v>
      </c>
      <c r="B4" s="32">
        <v>1617</v>
      </c>
      <c r="C4" s="32" t="s">
        <v>520</v>
      </c>
      <c r="D4" s="29">
        <v>46092</v>
      </c>
      <c r="E4" s="38">
        <v>327.5</v>
      </c>
      <c r="F4" s="38"/>
      <c r="G4" s="82"/>
      <c r="H4" s="38"/>
    </row>
    <row r="5" spans="1:9" x14ac:dyDescent="0.25">
      <c r="A5" s="17">
        <v>46057</v>
      </c>
      <c r="B5" s="32">
        <v>1582</v>
      </c>
      <c r="C5" s="32" t="s">
        <v>520</v>
      </c>
      <c r="D5" s="29">
        <v>46085</v>
      </c>
      <c r="E5" s="38">
        <v>1310</v>
      </c>
      <c r="F5" s="38"/>
      <c r="G5" s="82"/>
      <c r="H5" s="38"/>
    </row>
    <row r="6" spans="1:9" x14ac:dyDescent="0.25">
      <c r="A6" s="17">
        <v>46055</v>
      </c>
      <c r="B6" s="32">
        <v>4801</v>
      </c>
      <c r="C6" s="32" t="s">
        <v>518</v>
      </c>
      <c r="D6" s="29">
        <v>46085</v>
      </c>
      <c r="E6" s="38">
        <v>1776.4</v>
      </c>
      <c r="F6" s="38"/>
      <c r="G6" s="82"/>
      <c r="H6" s="38"/>
    </row>
    <row r="7" spans="1:9" x14ac:dyDescent="0.25">
      <c r="A7" s="8">
        <v>46072</v>
      </c>
      <c r="B7" s="4">
        <v>5008</v>
      </c>
      <c r="C7" s="4" t="s">
        <v>518</v>
      </c>
      <c r="D7" s="8">
        <v>46102</v>
      </c>
      <c r="E7" s="70">
        <v>165.4</v>
      </c>
      <c r="F7" s="70"/>
      <c r="H7" s="34"/>
    </row>
    <row r="8" spans="1:9" x14ac:dyDescent="0.25">
      <c r="A8" s="8">
        <v>46076</v>
      </c>
      <c r="B8" s="4">
        <v>5056</v>
      </c>
      <c r="C8" s="4" t="s">
        <v>518</v>
      </c>
      <c r="D8" s="8" t="s">
        <v>521</v>
      </c>
      <c r="E8" s="70">
        <v>73.8</v>
      </c>
      <c r="F8" s="70"/>
      <c r="H8" s="34"/>
    </row>
    <row r="9" spans="1:9" x14ac:dyDescent="0.25">
      <c r="A9" s="54">
        <v>46072</v>
      </c>
      <c r="B9" s="78">
        <v>3835</v>
      </c>
      <c r="C9" s="78" t="s">
        <v>522</v>
      </c>
      <c r="D9" s="8">
        <v>46107</v>
      </c>
      <c r="E9" s="85">
        <v>227</v>
      </c>
      <c r="F9" s="85"/>
      <c r="H9" s="33"/>
    </row>
    <row r="10" spans="1:9" x14ac:dyDescent="0.25">
      <c r="A10" s="8">
        <v>46062</v>
      </c>
      <c r="B10" s="4">
        <v>26831</v>
      </c>
      <c r="C10" s="51" t="s">
        <v>523</v>
      </c>
      <c r="D10" s="8">
        <v>46090</v>
      </c>
      <c r="E10" s="34">
        <v>414.45</v>
      </c>
      <c r="F10" s="34"/>
      <c r="H10" s="33"/>
    </row>
    <row r="11" spans="1:9" x14ac:dyDescent="0.25">
      <c r="A11" s="8">
        <v>46057</v>
      </c>
      <c r="B11" s="4">
        <v>21753</v>
      </c>
      <c r="C11" s="4" t="s">
        <v>524</v>
      </c>
      <c r="D11" s="8">
        <v>46085</v>
      </c>
      <c r="E11" s="34">
        <v>258</v>
      </c>
      <c r="F11" s="34"/>
      <c r="H11" s="33"/>
    </row>
    <row r="12" spans="1:9" x14ac:dyDescent="0.25">
      <c r="A12" s="8">
        <v>46059</v>
      </c>
      <c r="B12" s="4">
        <v>21803</v>
      </c>
      <c r="C12" s="4" t="s">
        <v>524</v>
      </c>
      <c r="D12" s="8">
        <v>46179</v>
      </c>
      <c r="E12" s="34">
        <v>35.799999999999997</v>
      </c>
      <c r="F12" s="34"/>
      <c r="H12" s="33"/>
    </row>
    <row r="13" spans="1:9" x14ac:dyDescent="0.25">
      <c r="A13" s="8">
        <v>46057</v>
      </c>
      <c r="B13" s="4">
        <v>40396</v>
      </c>
      <c r="C13" s="4" t="s">
        <v>525</v>
      </c>
      <c r="D13" s="8">
        <v>46086</v>
      </c>
      <c r="E13" s="34">
        <v>230</v>
      </c>
      <c r="F13" s="34"/>
      <c r="H13" s="33"/>
    </row>
    <row r="14" spans="1:9" x14ac:dyDescent="0.25">
      <c r="A14" s="8">
        <v>46055</v>
      </c>
      <c r="B14" s="4">
        <v>40277</v>
      </c>
      <c r="C14" s="4" t="s">
        <v>525</v>
      </c>
      <c r="D14" s="155">
        <v>46085</v>
      </c>
      <c r="E14" s="34">
        <v>309</v>
      </c>
      <c r="F14" s="34"/>
      <c r="H14" s="33"/>
    </row>
    <row r="15" spans="1:9" x14ac:dyDescent="0.25">
      <c r="A15" s="178">
        <v>46066</v>
      </c>
      <c r="B15" s="102">
        <v>2212</v>
      </c>
      <c r="C15" s="102" t="s">
        <v>526</v>
      </c>
      <c r="D15" s="179">
        <v>46094</v>
      </c>
      <c r="E15" s="162">
        <v>3278</v>
      </c>
      <c r="F15" s="162"/>
      <c r="H15" s="33"/>
    </row>
    <row r="16" spans="1:9" x14ac:dyDescent="0.25">
      <c r="A16" s="8">
        <v>46091</v>
      </c>
      <c r="B16" s="4">
        <v>37453</v>
      </c>
      <c r="C16" s="4" t="s">
        <v>527</v>
      </c>
      <c r="D16" s="8">
        <v>46091</v>
      </c>
      <c r="E16" s="34">
        <v>29.7</v>
      </c>
      <c r="F16" s="34" t="s">
        <v>528</v>
      </c>
      <c r="H16" s="33"/>
    </row>
    <row r="17" spans="1:9" x14ac:dyDescent="0.25">
      <c r="A17" s="8">
        <v>46063</v>
      </c>
      <c r="B17" s="4">
        <v>9623</v>
      </c>
      <c r="C17" s="4" t="s">
        <v>529</v>
      </c>
      <c r="D17" s="8">
        <v>46091</v>
      </c>
      <c r="E17" s="34">
        <v>308.51</v>
      </c>
      <c r="F17" s="34" t="s">
        <v>528</v>
      </c>
      <c r="H17" s="33"/>
    </row>
    <row r="18" spans="1:9" x14ac:dyDescent="0.25">
      <c r="A18" s="8">
        <v>46091</v>
      </c>
      <c r="B18" s="4">
        <v>0</v>
      </c>
      <c r="C18" s="4" t="s">
        <v>530</v>
      </c>
      <c r="D18" s="8">
        <v>46091</v>
      </c>
      <c r="E18" s="34">
        <v>1978.8</v>
      </c>
      <c r="F18" s="34" t="s">
        <v>528</v>
      </c>
      <c r="H18" s="33"/>
    </row>
    <row r="19" spans="1:9" x14ac:dyDescent="0.25">
      <c r="A19" s="8">
        <v>46063</v>
      </c>
      <c r="B19" s="4">
        <v>19021</v>
      </c>
      <c r="C19" s="4" t="s">
        <v>438</v>
      </c>
      <c r="D19" s="8">
        <v>46091</v>
      </c>
      <c r="E19" s="34">
        <v>350.44</v>
      </c>
      <c r="F19" s="34"/>
      <c r="H19" s="33"/>
    </row>
    <row r="20" spans="1:9" ht="15.75" customHeight="1" x14ac:dyDescent="0.25">
      <c r="A20" s="8">
        <v>46090</v>
      </c>
      <c r="B20" s="4">
        <v>8</v>
      </c>
      <c r="C20" s="51" t="s">
        <v>531</v>
      </c>
      <c r="D20" s="8">
        <v>46100</v>
      </c>
      <c r="E20" s="34">
        <v>50</v>
      </c>
      <c r="F20" s="34"/>
      <c r="H20" s="33"/>
    </row>
    <row r="21" spans="1:9" ht="15.75" customHeight="1" x14ac:dyDescent="0.25">
      <c r="A21" s="8">
        <v>46092</v>
      </c>
      <c r="B21" s="4" t="s">
        <v>532</v>
      </c>
      <c r="C21" s="4" t="s">
        <v>496</v>
      </c>
      <c r="D21" s="8">
        <v>46092</v>
      </c>
      <c r="E21" s="34">
        <v>218.28</v>
      </c>
      <c r="F21" s="34"/>
      <c r="H21" s="33"/>
    </row>
    <row r="22" spans="1:9" ht="15.75" customHeight="1" x14ac:dyDescent="0.25">
      <c r="A22" s="8">
        <v>46090</v>
      </c>
      <c r="B22" s="4" t="s">
        <v>533</v>
      </c>
      <c r="C22" s="4" t="s">
        <v>534</v>
      </c>
      <c r="D22" s="155">
        <v>46090</v>
      </c>
      <c r="E22" s="34">
        <v>1448.6</v>
      </c>
      <c r="F22" s="34"/>
      <c r="H22" s="33"/>
    </row>
    <row r="23" spans="1:9" ht="15.75" customHeight="1" x14ac:dyDescent="0.25">
      <c r="A23" s="180">
        <v>46090</v>
      </c>
      <c r="B23" s="4" t="s">
        <v>535</v>
      </c>
      <c r="C23" s="4" t="s">
        <v>536</v>
      </c>
      <c r="D23" s="155">
        <v>46090</v>
      </c>
      <c r="E23" s="34">
        <v>281.04000000000002</v>
      </c>
      <c r="F23" s="34"/>
      <c r="H23" s="33"/>
      <c r="I23" s="4"/>
    </row>
    <row r="24" spans="1:9" ht="15.75" customHeight="1" x14ac:dyDescent="0.25">
      <c r="A24" s="8"/>
      <c r="B24" s="4" t="s">
        <v>537</v>
      </c>
      <c r="C24" s="4" t="s">
        <v>538</v>
      </c>
      <c r="D24" s="155">
        <v>46087</v>
      </c>
      <c r="E24" s="34">
        <v>2100</v>
      </c>
      <c r="F24" s="34"/>
      <c r="H24" s="33"/>
    </row>
    <row r="25" spans="1:9" ht="15.75" customHeight="1" x14ac:dyDescent="0.25">
      <c r="A25" s="8"/>
      <c r="B25" s="4" t="s">
        <v>537</v>
      </c>
      <c r="C25" s="4" t="s">
        <v>66</v>
      </c>
      <c r="D25" s="155">
        <v>46087</v>
      </c>
      <c r="E25" s="34">
        <v>2000</v>
      </c>
      <c r="F25" s="34"/>
      <c r="H25" s="33"/>
    </row>
    <row r="26" spans="1:9" ht="15.75" customHeight="1" x14ac:dyDescent="0.25">
      <c r="A26" s="8"/>
      <c r="B26" s="4" t="s">
        <v>537</v>
      </c>
      <c r="C26" s="4" t="s">
        <v>459</v>
      </c>
      <c r="D26" s="155">
        <v>46086</v>
      </c>
      <c r="E26" s="34">
        <v>2400</v>
      </c>
      <c r="F26" s="34"/>
      <c r="H26" s="33"/>
    </row>
    <row r="27" spans="1:9" ht="15.75" customHeight="1" x14ac:dyDescent="0.25">
      <c r="A27" s="180">
        <v>46093</v>
      </c>
      <c r="B27" s="4" t="s">
        <v>539</v>
      </c>
      <c r="C27" s="4" t="s">
        <v>540</v>
      </c>
      <c r="D27" s="180">
        <v>46093</v>
      </c>
      <c r="E27" s="34">
        <v>524.79999999999995</v>
      </c>
      <c r="F27" s="33"/>
      <c r="H27" s="33"/>
    </row>
    <row r="28" spans="1:9" ht="15.75" customHeight="1" x14ac:dyDescent="0.25">
      <c r="A28" s="180">
        <v>46099</v>
      </c>
      <c r="B28" s="4" t="s">
        <v>541</v>
      </c>
      <c r="C28" s="4" t="s">
        <v>426</v>
      </c>
      <c r="D28" s="180">
        <v>46099</v>
      </c>
      <c r="E28" s="34">
        <v>30</v>
      </c>
      <c r="F28" s="33"/>
      <c r="H28" s="33"/>
    </row>
    <row r="29" spans="1:9" ht="15.75" customHeight="1" x14ac:dyDescent="0.25">
      <c r="A29" s="180">
        <v>46098</v>
      </c>
      <c r="B29" s="4" t="s">
        <v>541</v>
      </c>
      <c r="C29" s="4" t="s">
        <v>434</v>
      </c>
      <c r="D29" s="180">
        <v>46098</v>
      </c>
      <c r="E29" s="34">
        <v>45</v>
      </c>
      <c r="F29" s="33"/>
      <c r="H29" s="33"/>
    </row>
    <row r="30" spans="1:9" ht="15.75" customHeight="1" x14ac:dyDescent="0.25">
      <c r="A30" s="180">
        <v>46098</v>
      </c>
      <c r="B30" s="4" t="s">
        <v>542</v>
      </c>
      <c r="C30" s="4" t="s">
        <v>495</v>
      </c>
      <c r="D30" s="180">
        <v>46098</v>
      </c>
      <c r="E30" s="34">
        <v>370</v>
      </c>
      <c r="F30" s="33"/>
      <c r="H30" s="33"/>
    </row>
    <row r="31" spans="1:9" ht="15.75" customHeight="1" x14ac:dyDescent="0.25">
      <c r="A31" s="180">
        <v>46099</v>
      </c>
      <c r="B31" s="4" t="s">
        <v>543</v>
      </c>
      <c r="C31" s="4" t="s">
        <v>72</v>
      </c>
      <c r="D31" s="180">
        <v>46099</v>
      </c>
      <c r="E31" s="34">
        <v>55</v>
      </c>
      <c r="F31" s="33"/>
      <c r="H31" s="33"/>
    </row>
    <row r="32" spans="1:9" ht="15.75" customHeight="1" x14ac:dyDescent="0.25">
      <c r="A32" s="180">
        <v>46099</v>
      </c>
      <c r="B32" s="4" t="s">
        <v>544</v>
      </c>
      <c r="C32" s="4" t="s">
        <v>545</v>
      </c>
      <c r="D32" s="180">
        <v>46099</v>
      </c>
      <c r="E32" s="34">
        <v>116</v>
      </c>
      <c r="F32" s="33"/>
      <c r="H32" s="33"/>
    </row>
    <row r="33" spans="1:8" ht="15.75" customHeight="1" x14ac:dyDescent="0.25">
      <c r="A33" s="180">
        <v>46093</v>
      </c>
      <c r="B33" s="4" t="s">
        <v>546</v>
      </c>
      <c r="C33" s="4" t="s">
        <v>426</v>
      </c>
      <c r="D33" s="180">
        <v>46093</v>
      </c>
      <c r="E33" s="34">
        <v>102.9</v>
      </c>
      <c r="F33" s="33"/>
      <c r="H33" s="33"/>
    </row>
    <row r="34" spans="1:8" ht="15.75" customHeight="1" x14ac:dyDescent="0.25">
      <c r="A34" s="180">
        <v>46094</v>
      </c>
      <c r="B34" s="4" t="s">
        <v>547</v>
      </c>
      <c r="C34" s="4" t="s">
        <v>529</v>
      </c>
      <c r="D34" s="180">
        <v>46094</v>
      </c>
      <c r="E34" s="34">
        <v>114.71</v>
      </c>
      <c r="F34" s="33"/>
      <c r="H34" s="33"/>
    </row>
    <row r="35" spans="1:8" ht="15.75" customHeight="1" x14ac:dyDescent="0.25">
      <c r="A35" s="180">
        <v>46097</v>
      </c>
      <c r="B35" s="4" t="s">
        <v>548</v>
      </c>
      <c r="C35" s="4" t="s">
        <v>476</v>
      </c>
      <c r="D35" s="180">
        <v>46097</v>
      </c>
      <c r="E35" s="34">
        <v>30.84</v>
      </c>
      <c r="F35" s="33"/>
      <c r="H35" s="33"/>
    </row>
    <row r="36" spans="1:8" ht="15.75" customHeight="1" x14ac:dyDescent="0.25">
      <c r="A36" s="180">
        <v>46104</v>
      </c>
      <c r="B36" s="4" t="s">
        <v>549</v>
      </c>
      <c r="C36" s="4" t="s">
        <v>550</v>
      </c>
      <c r="D36" s="180">
        <v>46104</v>
      </c>
      <c r="E36" s="34">
        <v>334.2</v>
      </c>
      <c r="F36" s="33"/>
      <c r="H36" s="33"/>
    </row>
    <row r="37" spans="1:8" ht="15.75" customHeight="1" x14ac:dyDescent="0.25">
      <c r="A37" s="180">
        <v>46101</v>
      </c>
      <c r="B37" s="4" t="s">
        <v>551</v>
      </c>
      <c r="C37" s="4" t="s">
        <v>552</v>
      </c>
      <c r="D37" s="180">
        <v>46101</v>
      </c>
      <c r="E37" s="34">
        <v>192</v>
      </c>
      <c r="F37" s="33"/>
      <c r="H37" s="33"/>
    </row>
    <row r="38" spans="1:8" ht="15.75" customHeight="1" x14ac:dyDescent="0.25">
      <c r="A38" s="180">
        <v>46101</v>
      </c>
      <c r="B38" s="4" t="s">
        <v>553</v>
      </c>
      <c r="C38" s="4" t="s">
        <v>552</v>
      </c>
      <c r="D38" s="180">
        <v>46101</v>
      </c>
      <c r="E38" s="34">
        <v>503.42</v>
      </c>
      <c r="F38" s="33"/>
      <c r="H38" s="33"/>
    </row>
    <row r="39" spans="1:8" ht="15.75" customHeight="1" x14ac:dyDescent="0.25">
      <c r="A39" s="180">
        <v>46101</v>
      </c>
      <c r="B39" s="4" t="s">
        <v>554</v>
      </c>
      <c r="C39" s="4" t="s">
        <v>552</v>
      </c>
      <c r="D39" s="180">
        <v>46101</v>
      </c>
      <c r="E39" s="34">
        <v>805.64</v>
      </c>
      <c r="F39" s="33"/>
      <c r="H39" s="33"/>
    </row>
    <row r="40" spans="1:8" ht="15.75" customHeight="1" x14ac:dyDescent="0.25">
      <c r="A40" s="180">
        <v>46101</v>
      </c>
      <c r="B40" s="4" t="s">
        <v>554</v>
      </c>
      <c r="C40" s="4" t="s">
        <v>93</v>
      </c>
      <c r="D40" s="180">
        <v>46101</v>
      </c>
      <c r="E40" s="34">
        <v>452.47</v>
      </c>
      <c r="F40" s="33"/>
      <c r="H40" s="33"/>
    </row>
    <row r="41" spans="1:8" ht="15.75" customHeight="1" x14ac:dyDescent="0.25">
      <c r="A41" s="180">
        <v>46101</v>
      </c>
      <c r="B41" s="4" t="s">
        <v>553</v>
      </c>
      <c r="C41" s="4" t="s">
        <v>93</v>
      </c>
      <c r="D41" s="180">
        <v>46101</v>
      </c>
      <c r="E41" s="34">
        <v>231</v>
      </c>
      <c r="F41" s="33"/>
      <c r="H41" s="33"/>
    </row>
    <row r="42" spans="1:8" ht="15.75" customHeight="1" x14ac:dyDescent="0.25">
      <c r="E42" s="33"/>
      <c r="F42" s="33"/>
      <c r="H42" s="33"/>
    </row>
    <row r="43" spans="1:8" ht="15.75" customHeight="1" x14ac:dyDescent="0.25">
      <c r="E43" s="33"/>
      <c r="F43" s="33"/>
      <c r="H43" s="33"/>
    </row>
    <row r="44" spans="1:8" ht="15.75" customHeight="1" x14ac:dyDescent="0.25">
      <c r="E44" s="33"/>
      <c r="F44" s="33"/>
      <c r="H44" s="33"/>
    </row>
    <row r="45" spans="1:8" ht="15.75" customHeight="1" x14ac:dyDescent="0.25">
      <c r="E45" s="33"/>
      <c r="F45" s="33"/>
      <c r="H45" s="33"/>
    </row>
    <row r="46" spans="1:8" ht="15.75" customHeight="1" x14ac:dyDescent="0.25">
      <c r="E46" s="33"/>
      <c r="F46" s="33"/>
      <c r="H46" s="33"/>
    </row>
    <row r="47" spans="1:8" ht="15.75" customHeight="1" x14ac:dyDescent="0.25">
      <c r="E47" s="33"/>
      <c r="F47" s="33"/>
      <c r="H47" s="33"/>
    </row>
    <row r="48" spans="1:8" ht="15.75" customHeight="1" x14ac:dyDescent="0.25">
      <c r="E48" s="33"/>
      <c r="F48" s="33"/>
      <c r="H48" s="33"/>
    </row>
    <row r="49" spans="1:9" ht="15.75" customHeight="1" x14ac:dyDescent="0.25">
      <c r="E49" s="33"/>
      <c r="F49" s="33"/>
      <c r="H49" s="33"/>
    </row>
    <row r="50" spans="1:9" ht="15.75" customHeight="1" x14ac:dyDescent="0.25">
      <c r="E50" s="33"/>
      <c r="F50" s="33"/>
      <c r="H50" s="33"/>
    </row>
    <row r="51" spans="1:9" ht="15.75" customHeight="1" x14ac:dyDescent="0.25">
      <c r="E51" s="33"/>
      <c r="F51" s="33"/>
      <c r="H51" s="33"/>
    </row>
    <row r="52" spans="1:9" ht="15.75" customHeight="1" x14ac:dyDescent="0.25">
      <c r="E52" s="33"/>
      <c r="F52" s="33"/>
      <c r="H52" s="33"/>
    </row>
    <row r="53" spans="1:9" ht="15.75" customHeight="1" x14ac:dyDescent="0.25">
      <c r="E53" s="33"/>
      <c r="F53" s="33"/>
      <c r="H53" s="33"/>
    </row>
    <row r="54" spans="1:9" ht="15.75" customHeight="1" x14ac:dyDescent="0.25">
      <c r="E54" s="33"/>
      <c r="F54" s="33"/>
      <c r="H54" s="33"/>
    </row>
    <row r="55" spans="1:9" ht="15.75" customHeight="1" x14ac:dyDescent="0.25">
      <c r="A55" s="8"/>
      <c r="B55" s="81"/>
      <c r="C55" s="51"/>
      <c r="D55" s="8"/>
      <c r="E55" s="33"/>
      <c r="F55" s="34"/>
      <c r="H55" s="33"/>
    </row>
    <row r="56" spans="1:9" ht="15.75" customHeight="1" x14ac:dyDescent="0.25">
      <c r="E56" s="33"/>
      <c r="F56" s="33"/>
      <c r="H56" s="33"/>
    </row>
    <row r="57" spans="1:9" ht="15.75" customHeight="1" x14ac:dyDescent="0.25">
      <c r="E57" s="33"/>
      <c r="F57" s="33"/>
      <c r="H57" s="33"/>
    </row>
    <row r="58" spans="1:9" ht="15.75" customHeight="1" x14ac:dyDescent="0.25">
      <c r="E58" s="33"/>
      <c r="F58" s="33"/>
      <c r="H58" s="33"/>
    </row>
    <row r="59" spans="1:9" ht="15.75" customHeight="1" x14ac:dyDescent="0.25">
      <c r="E59" s="33"/>
      <c r="F59" s="33"/>
      <c r="H59" s="33"/>
    </row>
    <row r="60" spans="1:9" ht="15.75" customHeight="1" x14ac:dyDescent="0.25">
      <c r="E60" s="33"/>
      <c r="F60" s="33"/>
      <c r="H60" s="33"/>
    </row>
    <row r="61" spans="1:9" ht="15.75" customHeight="1" x14ac:dyDescent="0.25">
      <c r="E61" s="33"/>
      <c r="F61" s="33"/>
      <c r="H61" s="33"/>
    </row>
    <row r="62" spans="1:9" ht="15.75" customHeight="1" x14ac:dyDescent="0.25">
      <c r="C62" s="4"/>
      <c r="D62" s="54"/>
      <c r="E62" s="33"/>
      <c r="F62" s="34"/>
      <c r="H62" s="115"/>
      <c r="I62" s="163"/>
    </row>
    <row r="63" spans="1:9" ht="15.75" customHeight="1" x14ac:dyDescent="0.25">
      <c r="E63" s="33"/>
      <c r="F63" s="33"/>
      <c r="H63" s="171">
        <f>SUM(H2:H62)</f>
        <v>0</v>
      </c>
    </row>
    <row r="64" spans="1:9" ht="15.75" customHeight="1" x14ac:dyDescent="0.25">
      <c r="E64" s="133">
        <f t="shared" ref="E64:F64" si="0">SUM(E2:E63)</f>
        <v>24116.600000000002</v>
      </c>
      <c r="F64" s="133">
        <f t="shared" si="0"/>
        <v>0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974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7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>
        <v>46086</v>
      </c>
      <c r="B2" s="22">
        <v>27761</v>
      </c>
      <c r="C2" s="23" t="s">
        <v>523</v>
      </c>
      <c r="D2" s="9">
        <v>46117</v>
      </c>
      <c r="E2" s="150">
        <v>316.64</v>
      </c>
      <c r="F2" s="150"/>
      <c r="G2" s="4"/>
      <c r="H2" s="38"/>
    </row>
    <row r="3" spans="1:9" x14ac:dyDescent="0.25">
      <c r="A3" s="17">
        <v>46094</v>
      </c>
      <c r="B3" s="32"/>
      <c r="C3" s="32" t="s">
        <v>163</v>
      </c>
      <c r="D3" s="29">
        <v>46125</v>
      </c>
      <c r="E3" s="38">
        <v>105.1</v>
      </c>
      <c r="F3" s="38"/>
      <c r="G3" s="82"/>
      <c r="H3" s="38"/>
    </row>
    <row r="4" spans="1:9" x14ac:dyDescent="0.25">
      <c r="A4" s="17">
        <v>46133</v>
      </c>
      <c r="B4" s="32">
        <v>5440</v>
      </c>
      <c r="C4" s="32" t="s">
        <v>518</v>
      </c>
      <c r="D4" s="29">
        <v>46133</v>
      </c>
      <c r="E4" s="38">
        <v>67.319999999999993</v>
      </c>
      <c r="F4" s="38"/>
      <c r="G4" s="82"/>
      <c r="H4" s="38"/>
    </row>
    <row r="5" spans="1:9" x14ac:dyDescent="0.25">
      <c r="A5" s="17">
        <v>46112</v>
      </c>
      <c r="B5" s="32"/>
      <c r="C5" s="32" t="s">
        <v>525</v>
      </c>
      <c r="D5" s="29">
        <v>46142</v>
      </c>
      <c r="E5" s="38">
        <v>39.200000000000003</v>
      </c>
      <c r="F5" s="38"/>
      <c r="G5" s="82"/>
      <c r="H5" s="38"/>
    </row>
    <row r="6" spans="1:9" x14ac:dyDescent="0.25">
      <c r="A6" s="17">
        <v>46095</v>
      </c>
      <c r="B6" s="32">
        <v>40363</v>
      </c>
      <c r="C6" s="32" t="s">
        <v>516</v>
      </c>
      <c r="D6" s="29">
        <v>46126</v>
      </c>
      <c r="E6" s="38">
        <v>204</v>
      </c>
      <c r="F6" s="38"/>
      <c r="G6" s="82"/>
      <c r="H6" s="38"/>
    </row>
    <row r="7" spans="1:9" x14ac:dyDescent="0.25">
      <c r="A7" s="54">
        <v>46093</v>
      </c>
      <c r="B7" s="78">
        <v>5269</v>
      </c>
      <c r="C7" s="78" t="s">
        <v>467</v>
      </c>
      <c r="D7" s="54">
        <v>46115</v>
      </c>
      <c r="E7" s="85">
        <v>92.7</v>
      </c>
      <c r="F7" s="85"/>
      <c r="G7" s="114"/>
      <c r="H7" s="34"/>
    </row>
    <row r="8" spans="1:9" x14ac:dyDescent="0.25">
      <c r="A8" s="54">
        <v>46123</v>
      </c>
      <c r="B8" s="78">
        <v>5275</v>
      </c>
      <c r="C8" s="78" t="s">
        <v>467</v>
      </c>
      <c r="D8" s="54">
        <v>46123</v>
      </c>
      <c r="E8" s="85">
        <v>63.8</v>
      </c>
      <c r="F8" s="85"/>
      <c r="G8" s="114"/>
      <c r="H8" s="34"/>
    </row>
    <row r="9" spans="1:9" x14ac:dyDescent="0.25">
      <c r="A9" s="54">
        <v>46123</v>
      </c>
      <c r="B9" s="78">
        <v>5273</v>
      </c>
      <c r="C9" s="78" t="s">
        <v>467</v>
      </c>
      <c r="D9" s="54">
        <v>46123</v>
      </c>
      <c r="E9" s="85">
        <v>15.95</v>
      </c>
      <c r="F9" s="85"/>
      <c r="G9" s="114"/>
      <c r="H9" s="33"/>
    </row>
    <row r="10" spans="1:9" x14ac:dyDescent="0.25">
      <c r="A10" s="54">
        <v>46125</v>
      </c>
      <c r="B10" s="78">
        <v>5314</v>
      </c>
      <c r="C10" s="110" t="s">
        <v>467</v>
      </c>
      <c r="D10" s="54">
        <v>46125</v>
      </c>
      <c r="E10" s="85">
        <v>86.7</v>
      </c>
      <c r="F10" s="85"/>
      <c r="G10" s="114"/>
      <c r="H10" s="33"/>
    </row>
    <row r="11" spans="1:9" x14ac:dyDescent="0.25">
      <c r="A11" s="54">
        <v>46094</v>
      </c>
      <c r="B11" s="78">
        <v>67741</v>
      </c>
      <c r="C11" s="78" t="s">
        <v>125</v>
      </c>
      <c r="D11" s="54">
        <v>46125</v>
      </c>
      <c r="E11" s="85">
        <v>13.86</v>
      </c>
      <c r="F11" s="85"/>
      <c r="G11" s="114"/>
      <c r="H11" s="33"/>
    </row>
    <row r="12" spans="1:9" x14ac:dyDescent="0.25">
      <c r="A12" s="54"/>
      <c r="B12" s="116"/>
      <c r="C12" s="78" t="s">
        <v>555</v>
      </c>
      <c r="D12" s="54">
        <v>46120</v>
      </c>
      <c r="E12" s="85">
        <v>800</v>
      </c>
      <c r="F12" s="85"/>
      <c r="G12" s="114"/>
      <c r="H12" s="33"/>
    </row>
    <row r="13" spans="1:9" x14ac:dyDescent="0.25">
      <c r="A13" s="54"/>
      <c r="B13" s="116"/>
      <c r="C13" s="78" t="s">
        <v>556</v>
      </c>
      <c r="D13" s="54">
        <v>46120</v>
      </c>
      <c r="E13" s="85">
        <v>578.86</v>
      </c>
      <c r="F13" s="85"/>
      <c r="G13" s="114"/>
      <c r="H13" s="33"/>
    </row>
    <row r="14" spans="1:9" x14ac:dyDescent="0.25">
      <c r="A14" s="54">
        <v>46114</v>
      </c>
      <c r="B14" s="78">
        <v>48518</v>
      </c>
      <c r="C14" s="78" t="s">
        <v>557</v>
      </c>
      <c r="D14" s="157">
        <v>46114</v>
      </c>
      <c r="E14" s="85">
        <v>18</v>
      </c>
      <c r="F14" s="85"/>
      <c r="G14" s="114"/>
      <c r="H14" s="33"/>
    </row>
    <row r="15" spans="1:9" x14ac:dyDescent="0.25">
      <c r="A15" s="181">
        <v>46117</v>
      </c>
      <c r="B15" s="182"/>
      <c r="C15" s="183" t="s">
        <v>558</v>
      </c>
      <c r="D15" s="184">
        <v>46118</v>
      </c>
      <c r="E15" s="185">
        <v>1488.32</v>
      </c>
      <c r="F15" s="186"/>
      <c r="G15" s="114"/>
      <c r="H15" s="33"/>
    </row>
    <row r="16" spans="1:9" x14ac:dyDescent="0.25">
      <c r="A16" s="54">
        <v>46119</v>
      </c>
      <c r="B16" s="139"/>
      <c r="C16" s="78" t="s">
        <v>559</v>
      </c>
      <c r="D16" s="54">
        <v>46119</v>
      </c>
      <c r="E16" s="85">
        <v>149</v>
      </c>
      <c r="F16" s="85"/>
      <c r="G16" s="114"/>
      <c r="H16" s="33"/>
    </row>
    <row r="17" spans="1:9" x14ac:dyDescent="0.25">
      <c r="A17" s="54">
        <v>46119</v>
      </c>
      <c r="B17" s="78"/>
      <c r="C17" s="78" t="s">
        <v>560</v>
      </c>
      <c r="D17" s="54">
        <v>46119</v>
      </c>
      <c r="E17" s="85">
        <v>739.7</v>
      </c>
      <c r="F17" s="85"/>
      <c r="G17" s="114"/>
      <c r="H17" s="33"/>
    </row>
    <row r="18" spans="1:9" x14ac:dyDescent="0.25">
      <c r="A18" s="54">
        <v>46119</v>
      </c>
      <c r="B18" s="78"/>
      <c r="C18" s="78" t="s">
        <v>561</v>
      </c>
      <c r="D18" s="78">
        <v>180.72</v>
      </c>
      <c r="E18" s="85">
        <v>180.72</v>
      </c>
      <c r="F18" s="85"/>
      <c r="G18" s="114"/>
      <c r="H18" s="33"/>
    </row>
    <row r="19" spans="1:9" x14ac:dyDescent="0.25">
      <c r="A19" s="54">
        <v>46125</v>
      </c>
      <c r="B19" s="78"/>
      <c r="C19" s="78" t="s">
        <v>562</v>
      </c>
      <c r="D19" s="187">
        <v>46125</v>
      </c>
      <c r="E19" s="85">
        <v>25</v>
      </c>
      <c r="F19" s="85"/>
      <c r="G19" s="114"/>
      <c r="H19" s="33"/>
    </row>
    <row r="20" spans="1:9" ht="15.75" customHeight="1" x14ac:dyDescent="0.25">
      <c r="A20" s="54">
        <v>46120</v>
      </c>
      <c r="B20" s="78"/>
      <c r="C20" s="110" t="s">
        <v>563</v>
      </c>
      <c r="D20" s="187">
        <v>46120</v>
      </c>
      <c r="E20" s="85">
        <v>122.3</v>
      </c>
      <c r="F20" s="85"/>
      <c r="G20" s="114"/>
      <c r="H20" s="33"/>
    </row>
    <row r="21" spans="1:9" ht="15.75" customHeight="1" x14ac:dyDescent="0.25">
      <c r="A21" s="54">
        <v>46120</v>
      </c>
      <c r="B21" s="78"/>
      <c r="C21" s="78" t="s">
        <v>563</v>
      </c>
      <c r="D21" s="54">
        <v>46120</v>
      </c>
      <c r="E21" s="85">
        <v>800</v>
      </c>
      <c r="F21" s="85"/>
      <c r="G21" s="114"/>
      <c r="H21" s="33"/>
    </row>
    <row r="22" spans="1:9" ht="15.75" customHeight="1" x14ac:dyDescent="0.25">
      <c r="A22" s="54">
        <v>46120</v>
      </c>
      <c r="B22" s="88"/>
      <c r="C22" s="78" t="s">
        <v>564</v>
      </c>
      <c r="D22" s="157">
        <v>46120</v>
      </c>
      <c r="E22" s="85">
        <v>87.56</v>
      </c>
      <c r="F22" s="85"/>
      <c r="G22" s="114"/>
      <c r="H22" s="33"/>
    </row>
    <row r="23" spans="1:9" ht="15.75" customHeight="1" x14ac:dyDescent="0.25">
      <c r="A23" s="54">
        <v>46120</v>
      </c>
      <c r="B23" s="78"/>
      <c r="C23" s="78" t="s">
        <v>565</v>
      </c>
      <c r="D23" s="157">
        <v>46119</v>
      </c>
      <c r="E23" s="85">
        <v>2100</v>
      </c>
      <c r="F23" s="85"/>
      <c r="G23" s="114"/>
      <c r="H23" s="33"/>
      <c r="I23" s="4"/>
    </row>
    <row r="24" spans="1:9" ht="15.75" customHeight="1" x14ac:dyDescent="0.25">
      <c r="A24" s="54">
        <v>46120</v>
      </c>
      <c r="B24" s="78"/>
      <c r="C24" s="78" t="s">
        <v>566</v>
      </c>
      <c r="D24" s="157">
        <v>46119</v>
      </c>
      <c r="E24" s="85">
        <v>2000</v>
      </c>
      <c r="F24" s="85"/>
      <c r="G24" s="114"/>
      <c r="H24" s="33"/>
    </row>
    <row r="25" spans="1:9" ht="15.75" customHeight="1" x14ac:dyDescent="0.25">
      <c r="A25" s="54">
        <v>46120</v>
      </c>
      <c r="B25" s="78"/>
      <c r="C25" s="78" t="s">
        <v>555</v>
      </c>
      <c r="D25" s="157">
        <v>46120</v>
      </c>
      <c r="E25" s="85">
        <v>800</v>
      </c>
      <c r="F25" s="85"/>
      <c r="G25" s="114"/>
      <c r="H25" s="33"/>
    </row>
    <row r="26" spans="1:9" ht="15.75" customHeight="1" x14ac:dyDescent="0.25">
      <c r="A26" s="54">
        <v>46120</v>
      </c>
      <c r="B26" s="78"/>
      <c r="C26" s="78" t="s">
        <v>567</v>
      </c>
      <c r="D26" s="157">
        <v>46120</v>
      </c>
      <c r="E26" s="85">
        <v>715</v>
      </c>
      <c r="F26" s="85"/>
      <c r="G26" s="114"/>
      <c r="H26" s="33"/>
    </row>
    <row r="27" spans="1:9" ht="15.75" customHeight="1" x14ac:dyDescent="0.25">
      <c r="A27" s="187">
        <v>46120</v>
      </c>
      <c r="B27" s="114"/>
      <c r="C27" s="78" t="s">
        <v>568</v>
      </c>
      <c r="D27" s="187">
        <v>46120</v>
      </c>
      <c r="E27" s="85">
        <v>118.39</v>
      </c>
      <c r="F27" s="175"/>
      <c r="G27" s="114"/>
      <c r="H27" s="33"/>
    </row>
    <row r="28" spans="1:9" ht="15.75" customHeight="1" x14ac:dyDescent="0.25">
      <c r="A28" s="187">
        <v>46120</v>
      </c>
      <c r="B28" s="114"/>
      <c r="C28" s="78" t="s">
        <v>556</v>
      </c>
      <c r="D28" s="54">
        <v>46120</v>
      </c>
      <c r="E28" s="85">
        <v>578.88</v>
      </c>
      <c r="F28" s="175"/>
      <c r="G28" s="114"/>
      <c r="H28" s="33"/>
    </row>
    <row r="29" spans="1:9" ht="15.75" customHeight="1" x14ac:dyDescent="0.25">
      <c r="A29" s="187">
        <v>46120</v>
      </c>
      <c r="B29" s="114"/>
      <c r="C29" s="78" t="s">
        <v>569</v>
      </c>
      <c r="D29" s="187">
        <v>46127</v>
      </c>
      <c r="E29" s="85">
        <v>212.5</v>
      </c>
      <c r="F29" s="175"/>
      <c r="G29" s="114"/>
      <c r="H29" s="33"/>
    </row>
    <row r="30" spans="1:9" ht="15.75" customHeight="1" x14ac:dyDescent="0.25">
      <c r="A30" s="187">
        <v>46126</v>
      </c>
      <c r="B30" s="114"/>
      <c r="C30" s="78" t="s">
        <v>570</v>
      </c>
      <c r="D30" s="187">
        <v>46126</v>
      </c>
      <c r="E30" s="85">
        <v>320</v>
      </c>
      <c r="F30" s="175"/>
      <c r="G30" s="114"/>
      <c r="H30" s="33"/>
    </row>
    <row r="31" spans="1:9" ht="15.75" customHeight="1" x14ac:dyDescent="0.25">
      <c r="A31" s="187">
        <v>46127</v>
      </c>
      <c r="B31" s="114"/>
      <c r="C31" s="78" t="s">
        <v>571</v>
      </c>
      <c r="D31" s="187">
        <v>46127</v>
      </c>
      <c r="E31" s="85">
        <v>109.99</v>
      </c>
      <c r="F31" s="175"/>
      <c r="G31" s="114"/>
      <c r="H31" s="33"/>
    </row>
    <row r="32" spans="1:9" ht="15.75" customHeight="1" x14ac:dyDescent="0.25">
      <c r="A32" s="187">
        <v>46125</v>
      </c>
      <c r="B32" s="114"/>
      <c r="C32" s="78" t="s">
        <v>572</v>
      </c>
      <c r="D32" s="187">
        <v>46125</v>
      </c>
      <c r="E32" s="85">
        <v>110</v>
      </c>
      <c r="F32" s="175"/>
      <c r="G32" s="114"/>
      <c r="H32" s="33"/>
    </row>
    <row r="33" spans="1:8" ht="15.75" customHeight="1" x14ac:dyDescent="0.25">
      <c r="A33" s="187">
        <v>46122</v>
      </c>
      <c r="B33" s="114"/>
      <c r="C33" s="78" t="s">
        <v>573</v>
      </c>
      <c r="D33" s="187">
        <v>46122</v>
      </c>
      <c r="E33" s="85">
        <v>186.04</v>
      </c>
      <c r="F33" s="175"/>
      <c r="G33" s="114"/>
      <c r="H33" s="33"/>
    </row>
    <row r="34" spans="1:8" ht="15.75" customHeight="1" x14ac:dyDescent="0.25">
      <c r="A34" s="54">
        <v>46125</v>
      </c>
      <c r="B34" s="114"/>
      <c r="C34" s="78" t="s">
        <v>573</v>
      </c>
      <c r="D34" s="187">
        <v>46125</v>
      </c>
      <c r="E34" s="85">
        <v>43.22</v>
      </c>
      <c r="F34" s="175"/>
      <c r="G34" s="114"/>
      <c r="H34" s="33"/>
    </row>
    <row r="35" spans="1:8" ht="15.75" customHeight="1" x14ac:dyDescent="0.25">
      <c r="A35" s="54">
        <v>46132</v>
      </c>
      <c r="B35" s="114"/>
      <c r="C35" s="78" t="s">
        <v>573</v>
      </c>
      <c r="D35" s="187">
        <v>46132</v>
      </c>
      <c r="E35" s="85">
        <v>221.35</v>
      </c>
      <c r="F35" s="175"/>
      <c r="G35" s="114"/>
      <c r="H35" s="33"/>
    </row>
    <row r="36" spans="1:8" ht="15.75" customHeight="1" x14ac:dyDescent="0.25">
      <c r="A36" s="187">
        <v>46132</v>
      </c>
      <c r="B36" s="114"/>
      <c r="C36" s="78" t="s">
        <v>574</v>
      </c>
      <c r="D36" s="187">
        <v>46132</v>
      </c>
      <c r="E36" s="85">
        <v>2614.14</v>
      </c>
      <c r="F36" s="175"/>
      <c r="G36" s="114"/>
      <c r="H36" s="33"/>
    </row>
    <row r="37" spans="1:8" ht="15.75" customHeight="1" x14ac:dyDescent="0.25">
      <c r="A37" s="54">
        <v>46114</v>
      </c>
      <c r="B37" s="114"/>
      <c r="C37" s="78" t="s">
        <v>575</v>
      </c>
      <c r="D37" s="187">
        <v>46114</v>
      </c>
      <c r="E37" s="85">
        <v>72.400000000000006</v>
      </c>
      <c r="F37" s="175"/>
      <c r="G37" s="114"/>
      <c r="H37" s="33"/>
    </row>
    <row r="38" spans="1:8" ht="15.75" customHeight="1" x14ac:dyDescent="0.25">
      <c r="A38" s="187">
        <v>46118</v>
      </c>
      <c r="B38" s="114"/>
      <c r="C38" s="78" t="s">
        <v>576</v>
      </c>
      <c r="D38" s="187">
        <v>46118</v>
      </c>
      <c r="E38" s="85">
        <v>25.5</v>
      </c>
      <c r="F38" s="175"/>
      <c r="G38" s="114"/>
      <c r="H38" s="33"/>
    </row>
    <row r="39" spans="1:8" ht="15.75" customHeight="1" x14ac:dyDescent="0.25">
      <c r="A39" s="187">
        <v>46119</v>
      </c>
      <c r="B39" s="114"/>
      <c r="C39" s="78" t="s">
        <v>577</v>
      </c>
      <c r="D39" s="187">
        <v>46119</v>
      </c>
      <c r="E39" s="85">
        <v>150</v>
      </c>
      <c r="F39" s="175"/>
      <c r="G39" s="114"/>
      <c r="H39" s="33"/>
    </row>
    <row r="40" spans="1:8" ht="15.75" customHeight="1" x14ac:dyDescent="0.25">
      <c r="A40" s="187">
        <v>46119</v>
      </c>
      <c r="B40" s="114"/>
      <c r="C40" s="78" t="s">
        <v>578</v>
      </c>
      <c r="D40" s="187">
        <v>46119</v>
      </c>
      <c r="E40" s="85">
        <v>140</v>
      </c>
      <c r="F40" s="175"/>
      <c r="G40" s="114"/>
      <c r="H40" s="33"/>
    </row>
    <row r="41" spans="1:8" ht="15.75" customHeight="1" x14ac:dyDescent="0.25">
      <c r="A41" s="187"/>
      <c r="B41" s="114"/>
      <c r="C41" s="78"/>
      <c r="D41" s="187"/>
      <c r="E41" s="175"/>
      <c r="F41" s="85"/>
      <c r="G41" s="114"/>
      <c r="H41" s="33"/>
    </row>
    <row r="42" spans="1:8" ht="15.75" customHeight="1" x14ac:dyDescent="0.25">
      <c r="A42" s="114"/>
      <c r="B42" s="114"/>
      <c r="C42" s="114"/>
      <c r="D42" s="114"/>
      <c r="E42" s="175"/>
      <c r="F42" s="175"/>
      <c r="G42" s="114"/>
      <c r="H42" s="33"/>
    </row>
    <row r="43" spans="1:8" ht="15.75" customHeight="1" x14ac:dyDescent="0.25">
      <c r="A43" s="114"/>
      <c r="B43" s="114"/>
      <c r="C43" s="114"/>
      <c r="D43" s="114"/>
      <c r="E43" s="175"/>
      <c r="F43" s="175"/>
      <c r="G43" s="114"/>
      <c r="H43" s="33"/>
    </row>
    <row r="44" spans="1:8" ht="15.75" customHeight="1" x14ac:dyDescent="0.25">
      <c r="A44" s="114"/>
      <c r="B44" s="114"/>
      <c r="C44" s="114"/>
      <c r="D44" s="114"/>
      <c r="E44" s="175"/>
      <c r="F44" s="175"/>
      <c r="G44" s="114"/>
      <c r="H44" s="33"/>
    </row>
    <row r="45" spans="1:8" ht="15.75" customHeight="1" x14ac:dyDescent="0.25">
      <c r="A45" s="114"/>
      <c r="B45" s="114"/>
      <c r="C45" s="114"/>
      <c r="D45" s="114"/>
      <c r="E45" s="175"/>
      <c r="F45" s="175"/>
      <c r="G45" s="114"/>
      <c r="H45" s="33"/>
    </row>
    <row r="46" spans="1:8" ht="15.75" customHeight="1" x14ac:dyDescent="0.25">
      <c r="A46" s="114"/>
      <c r="B46" s="114"/>
      <c r="C46" s="114"/>
      <c r="D46" s="114"/>
      <c r="E46" s="175"/>
      <c r="F46" s="175"/>
      <c r="G46" s="114"/>
      <c r="H46" s="33"/>
    </row>
    <row r="47" spans="1:8" ht="15.75" customHeight="1" x14ac:dyDescent="0.25">
      <c r="A47" s="114"/>
      <c r="B47" s="114"/>
      <c r="C47" s="114"/>
      <c r="D47" s="114"/>
      <c r="E47" s="175"/>
      <c r="F47" s="175"/>
      <c r="G47" s="114"/>
      <c r="H47" s="33"/>
    </row>
    <row r="48" spans="1:8" ht="15.75" customHeight="1" x14ac:dyDescent="0.25">
      <c r="A48" s="114"/>
      <c r="B48" s="114"/>
      <c r="C48" s="114"/>
      <c r="D48" s="114"/>
      <c r="E48" s="175"/>
      <c r="F48" s="175"/>
      <c r="G48" s="114"/>
      <c r="H48" s="33"/>
    </row>
    <row r="49" spans="1:9" ht="15.75" customHeight="1" x14ac:dyDescent="0.25">
      <c r="A49" s="114"/>
      <c r="B49" s="114"/>
      <c r="C49" s="114"/>
      <c r="D49" s="114"/>
      <c r="E49" s="175"/>
      <c r="F49" s="175"/>
      <c r="G49" s="114"/>
      <c r="H49" s="33"/>
    </row>
    <row r="50" spans="1:9" ht="15.75" customHeight="1" x14ac:dyDescent="0.25">
      <c r="A50" s="114"/>
      <c r="B50" s="114"/>
      <c r="C50" s="114"/>
      <c r="D50" s="114"/>
      <c r="E50" s="175"/>
      <c r="F50" s="175"/>
      <c r="G50" s="114"/>
      <c r="H50" s="33"/>
    </row>
    <row r="51" spans="1:9" ht="15.75" customHeight="1" x14ac:dyDescent="0.25">
      <c r="A51" s="114"/>
      <c r="B51" s="114"/>
      <c r="C51" s="114"/>
      <c r="D51" s="114"/>
      <c r="E51" s="175"/>
      <c r="F51" s="175"/>
      <c r="G51" s="114"/>
      <c r="H51" s="33"/>
    </row>
    <row r="52" spans="1:9" ht="15.75" customHeight="1" x14ac:dyDescent="0.25">
      <c r="A52" s="114"/>
      <c r="B52" s="114"/>
      <c r="C52" s="114"/>
      <c r="D52" s="114"/>
      <c r="E52" s="175"/>
      <c r="F52" s="175"/>
      <c r="G52" s="114"/>
      <c r="H52" s="33"/>
    </row>
    <row r="53" spans="1:9" ht="15.75" customHeight="1" x14ac:dyDescent="0.25">
      <c r="A53" s="114"/>
      <c r="B53" s="114"/>
      <c r="C53" s="114"/>
      <c r="D53" s="114"/>
      <c r="E53" s="175"/>
      <c r="F53" s="175"/>
      <c r="G53" s="114"/>
      <c r="H53" s="33"/>
    </row>
    <row r="54" spans="1:9" ht="15.75" customHeight="1" x14ac:dyDescent="0.25">
      <c r="A54" s="114"/>
      <c r="B54" s="114"/>
      <c r="C54" s="114"/>
      <c r="D54" s="114"/>
      <c r="E54" s="175"/>
      <c r="F54" s="175"/>
      <c r="G54" s="114"/>
      <c r="H54" s="33"/>
    </row>
    <row r="55" spans="1:9" ht="15.75" customHeight="1" x14ac:dyDescent="0.25">
      <c r="A55" s="54"/>
      <c r="B55" s="116"/>
      <c r="C55" s="110"/>
      <c r="D55" s="54"/>
      <c r="E55" s="175"/>
      <c r="F55" s="85"/>
      <c r="G55" s="114"/>
      <c r="H55" s="33"/>
    </row>
    <row r="56" spans="1:9" ht="15.75" customHeight="1" x14ac:dyDescent="0.25">
      <c r="A56" s="114"/>
      <c r="B56" s="114"/>
      <c r="C56" s="114"/>
      <c r="D56" s="114"/>
      <c r="E56" s="175"/>
      <c r="F56" s="175"/>
      <c r="G56" s="114"/>
      <c r="H56" s="33"/>
    </row>
    <row r="57" spans="1:9" ht="15.75" customHeight="1" x14ac:dyDescent="0.25">
      <c r="A57" s="114"/>
      <c r="B57" s="114"/>
      <c r="C57" s="114"/>
      <c r="D57" s="114"/>
      <c r="E57" s="175"/>
      <c r="F57" s="175"/>
      <c r="G57" s="114"/>
      <c r="H57" s="33"/>
    </row>
    <row r="58" spans="1:9" ht="15.75" customHeight="1" x14ac:dyDescent="0.25">
      <c r="A58" s="114"/>
      <c r="B58" s="114"/>
      <c r="C58" s="114"/>
      <c r="D58" s="114"/>
      <c r="E58" s="175"/>
      <c r="F58" s="175"/>
      <c r="G58" s="114"/>
      <c r="H58" s="33"/>
    </row>
    <row r="59" spans="1:9" ht="15.75" customHeight="1" x14ac:dyDescent="0.25">
      <c r="A59" s="114"/>
      <c r="B59" s="114"/>
      <c r="C59" s="114"/>
      <c r="D59" s="114"/>
      <c r="E59" s="175"/>
      <c r="F59" s="175"/>
      <c r="G59" s="114"/>
      <c r="H59" s="33"/>
    </row>
    <row r="60" spans="1:9" ht="15.75" customHeight="1" x14ac:dyDescent="0.25">
      <c r="A60" s="114"/>
      <c r="B60" s="114"/>
      <c r="C60" s="114"/>
      <c r="D60" s="114"/>
      <c r="E60" s="175"/>
      <c r="F60" s="175"/>
      <c r="G60" s="114"/>
      <c r="H60" s="33"/>
    </row>
    <row r="61" spans="1:9" ht="15.75" customHeight="1" x14ac:dyDescent="0.25">
      <c r="A61" s="114"/>
      <c r="B61" s="114"/>
      <c r="C61" s="114"/>
      <c r="D61" s="114"/>
      <c r="E61" s="175"/>
      <c r="F61" s="175"/>
      <c r="G61" s="114"/>
      <c r="H61" s="33"/>
    </row>
    <row r="62" spans="1:9" ht="15.75" customHeight="1" x14ac:dyDescent="0.25">
      <c r="A62" s="114"/>
      <c r="B62" s="114"/>
      <c r="C62" s="78"/>
      <c r="D62" s="54"/>
      <c r="E62" s="175"/>
      <c r="F62" s="85"/>
      <c r="G62" s="114"/>
      <c r="H62" s="115"/>
      <c r="I62" s="163"/>
    </row>
    <row r="63" spans="1:9" ht="15.75" customHeight="1" x14ac:dyDescent="0.25">
      <c r="A63" s="114"/>
      <c r="B63" s="114"/>
      <c r="C63" s="114"/>
      <c r="D63" s="114"/>
      <c r="E63" s="175"/>
      <c r="F63" s="175"/>
      <c r="G63" s="114"/>
      <c r="H63" s="171">
        <f>SUM(H2:H62)</f>
        <v>0</v>
      </c>
    </row>
    <row r="64" spans="1:9" ht="15.75" customHeight="1" x14ac:dyDescent="0.25">
      <c r="E64" s="133">
        <f t="shared" ref="E64:F64" si="0">SUM(E2:E63)</f>
        <v>16512.14</v>
      </c>
      <c r="F64" s="133">
        <f t="shared" si="0"/>
        <v>0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54">
        <v>46148</v>
      </c>
      <c r="B4" s="78">
        <v>5909</v>
      </c>
      <c r="C4" s="78" t="s">
        <v>467</v>
      </c>
      <c r="D4" s="54">
        <v>46179</v>
      </c>
      <c r="E4" s="85">
        <v>196.8</v>
      </c>
      <c r="F4" s="85"/>
      <c r="G4" s="114"/>
      <c r="H4" s="34"/>
    </row>
    <row r="5" spans="1:9" x14ac:dyDescent="0.25">
      <c r="A5" s="54">
        <v>46147</v>
      </c>
      <c r="B5" s="78">
        <v>40804</v>
      </c>
      <c r="C5" s="78" t="s">
        <v>516</v>
      </c>
      <c r="D5" s="54">
        <v>46179</v>
      </c>
      <c r="E5" s="85">
        <v>378.2</v>
      </c>
      <c r="F5" s="85"/>
      <c r="G5" s="114"/>
      <c r="H5" s="34"/>
    </row>
    <row r="6" spans="1:9" x14ac:dyDescent="0.25">
      <c r="A6" s="54">
        <v>46146</v>
      </c>
      <c r="B6" s="78">
        <v>29848</v>
      </c>
      <c r="C6" s="78" t="s">
        <v>434</v>
      </c>
      <c r="D6" s="54">
        <v>46177</v>
      </c>
      <c r="E6" s="85">
        <v>219</v>
      </c>
      <c r="F6" s="85"/>
      <c r="G6" s="114"/>
      <c r="H6" s="33"/>
    </row>
    <row r="7" spans="1:9" x14ac:dyDescent="0.25">
      <c r="A7" s="54">
        <v>46147</v>
      </c>
      <c r="B7" s="78">
        <v>27499</v>
      </c>
      <c r="C7" s="110" t="s">
        <v>462</v>
      </c>
      <c r="D7" s="54">
        <v>46178</v>
      </c>
      <c r="E7" s="85">
        <v>569.4</v>
      </c>
      <c r="F7" s="85"/>
      <c r="G7" s="114"/>
      <c r="H7" s="33"/>
    </row>
    <row r="8" spans="1:9" x14ac:dyDescent="0.25">
      <c r="A8" s="54">
        <v>46149</v>
      </c>
      <c r="B8" s="78">
        <v>22270</v>
      </c>
      <c r="C8" s="78" t="s">
        <v>579</v>
      </c>
      <c r="D8" s="54">
        <v>46180</v>
      </c>
      <c r="E8" s="85">
        <v>71.540000000000006</v>
      </c>
      <c r="F8" s="85"/>
      <c r="G8" s="114"/>
      <c r="H8" s="33"/>
    </row>
    <row r="9" spans="1:9" x14ac:dyDescent="0.25">
      <c r="A9" s="54">
        <v>46149</v>
      </c>
      <c r="B9" s="78">
        <v>212916</v>
      </c>
      <c r="C9" s="78" t="s">
        <v>580</v>
      </c>
      <c r="D9" s="54">
        <v>46180</v>
      </c>
      <c r="E9" s="85">
        <v>130</v>
      </c>
      <c r="F9" s="85"/>
      <c r="G9" s="114"/>
      <c r="H9" s="33"/>
    </row>
    <row r="10" spans="1:9" x14ac:dyDescent="0.25">
      <c r="A10" s="54">
        <v>46149</v>
      </c>
      <c r="B10" s="78">
        <v>2938</v>
      </c>
      <c r="C10" s="78" t="s">
        <v>582</v>
      </c>
      <c r="D10" s="54">
        <v>46180</v>
      </c>
      <c r="E10" s="85">
        <v>612</v>
      </c>
      <c r="F10" s="85"/>
      <c r="G10" s="114"/>
      <c r="H10" s="33"/>
    </row>
    <row r="11" spans="1:9" x14ac:dyDescent="0.25">
      <c r="A11" s="54">
        <v>46153</v>
      </c>
      <c r="B11" s="78">
        <v>2948</v>
      </c>
      <c r="C11" s="78" t="s">
        <v>582</v>
      </c>
      <c r="D11" s="157">
        <v>46184</v>
      </c>
      <c r="E11" s="85">
        <v>222</v>
      </c>
      <c r="F11" s="85"/>
      <c r="G11" s="114"/>
      <c r="H11" s="33"/>
    </row>
    <row r="12" spans="1:9" x14ac:dyDescent="0.25">
      <c r="A12" s="181">
        <v>46157</v>
      </c>
      <c r="B12" s="183">
        <v>2871</v>
      </c>
      <c r="C12" s="183" t="s">
        <v>582</v>
      </c>
      <c r="D12" s="184">
        <v>46188</v>
      </c>
      <c r="E12" s="186">
        <v>612</v>
      </c>
      <c r="F12" s="186"/>
      <c r="G12" s="114"/>
      <c r="H12" s="33"/>
    </row>
    <row r="13" spans="1:9" x14ac:dyDescent="0.25">
      <c r="A13" s="54">
        <v>46155</v>
      </c>
      <c r="B13" s="78">
        <v>46321</v>
      </c>
      <c r="C13" s="78" t="s">
        <v>425</v>
      </c>
      <c r="D13" s="54">
        <v>46186</v>
      </c>
      <c r="E13" s="85">
        <v>432</v>
      </c>
      <c r="F13" s="85"/>
      <c r="G13" s="114"/>
      <c r="H13" s="33"/>
    </row>
    <row r="14" spans="1:9" x14ac:dyDescent="0.25">
      <c r="A14" s="54">
        <v>46157</v>
      </c>
      <c r="B14" s="78">
        <v>46424</v>
      </c>
      <c r="C14" s="78" t="s">
        <v>425</v>
      </c>
      <c r="D14" s="54">
        <v>46188</v>
      </c>
      <c r="E14" s="85">
        <v>56.8</v>
      </c>
      <c r="F14" s="85"/>
      <c r="G14" s="114"/>
      <c r="H14" s="33"/>
    </row>
    <row r="15" spans="1:9" x14ac:dyDescent="0.25">
      <c r="A15" s="54">
        <v>46156</v>
      </c>
      <c r="B15" s="78">
        <v>46337</v>
      </c>
      <c r="C15" s="78" t="s">
        <v>425</v>
      </c>
      <c r="D15" s="54">
        <v>46187</v>
      </c>
      <c r="E15" s="85">
        <v>65.7</v>
      </c>
      <c r="F15" s="85"/>
      <c r="G15" s="114"/>
      <c r="H15" s="33"/>
    </row>
    <row r="16" spans="1:9" x14ac:dyDescent="0.25">
      <c r="A16" s="54">
        <v>46186</v>
      </c>
      <c r="B16" s="78"/>
      <c r="C16" s="78" t="s">
        <v>398</v>
      </c>
      <c r="D16" s="54">
        <v>46186</v>
      </c>
      <c r="E16" s="85">
        <v>113</v>
      </c>
      <c r="F16" s="85"/>
      <c r="G16" s="114"/>
      <c r="H16" s="33"/>
    </row>
    <row r="17" spans="1:9" ht="15.75" customHeight="1" x14ac:dyDescent="0.25">
      <c r="A17" s="54">
        <v>46161</v>
      </c>
      <c r="B17" s="78">
        <v>40962</v>
      </c>
      <c r="C17" s="110" t="s">
        <v>516</v>
      </c>
      <c r="D17" s="54" t="s">
        <v>585</v>
      </c>
      <c r="E17" s="85">
        <v>476</v>
      </c>
      <c r="F17" s="85"/>
      <c r="G17" s="114"/>
      <c r="H17" s="33"/>
    </row>
    <row r="18" spans="1:9" ht="15.75" customHeight="1" x14ac:dyDescent="0.25">
      <c r="A18" s="54" t="s">
        <v>586</v>
      </c>
      <c r="B18" s="78">
        <v>22380</v>
      </c>
      <c r="C18" s="78" t="s">
        <v>579</v>
      </c>
      <c r="D18" s="54">
        <v>46195</v>
      </c>
      <c r="E18" s="85">
        <v>71.540000000000006</v>
      </c>
      <c r="F18" s="85"/>
      <c r="G18" s="114"/>
      <c r="H18" s="33"/>
    </row>
    <row r="19" spans="1:9" ht="15.75" customHeight="1" x14ac:dyDescent="0.25">
      <c r="A19" s="54">
        <v>46170</v>
      </c>
      <c r="B19" s="78">
        <v>22453</v>
      </c>
      <c r="C19" s="78" t="s">
        <v>579</v>
      </c>
      <c r="D19" s="157">
        <v>46201</v>
      </c>
      <c r="E19" s="85">
        <v>114.1</v>
      </c>
      <c r="F19" s="85"/>
      <c r="G19" s="114"/>
      <c r="H19" s="33"/>
    </row>
    <row r="20" spans="1:9" ht="15.75" customHeight="1" x14ac:dyDescent="0.25">
      <c r="A20" s="54">
        <v>46171</v>
      </c>
      <c r="B20" s="78">
        <v>22459</v>
      </c>
      <c r="C20" s="78" t="s">
        <v>579</v>
      </c>
      <c r="D20" s="157">
        <v>46202</v>
      </c>
      <c r="E20" s="85">
        <v>54.9</v>
      </c>
      <c r="F20" s="85"/>
      <c r="G20" s="114"/>
      <c r="H20" s="33"/>
      <c r="I20" s="4"/>
    </row>
    <row r="21" spans="1:9" ht="15.75" customHeight="1" x14ac:dyDescent="0.25">
      <c r="A21" s="54">
        <v>46161</v>
      </c>
      <c r="B21" s="78">
        <v>46629</v>
      </c>
      <c r="C21" s="78" t="s">
        <v>425</v>
      </c>
      <c r="D21" s="157">
        <v>46191</v>
      </c>
      <c r="E21" s="85">
        <v>367.2</v>
      </c>
      <c r="F21" s="85"/>
      <c r="G21" s="114"/>
      <c r="H21" s="33"/>
    </row>
    <row r="22" spans="1:9" ht="15.75" customHeight="1" x14ac:dyDescent="0.25">
      <c r="A22" s="54">
        <v>46167</v>
      </c>
      <c r="B22" s="78">
        <v>47045</v>
      </c>
      <c r="C22" s="78" t="s">
        <v>425</v>
      </c>
      <c r="D22" s="157">
        <v>46197</v>
      </c>
      <c r="E22" s="85">
        <v>1296</v>
      </c>
      <c r="F22" s="85"/>
      <c r="G22" s="114"/>
      <c r="H22" s="33"/>
    </row>
    <row r="23" spans="1:9" ht="15.75" customHeight="1" x14ac:dyDescent="0.25">
      <c r="A23" s="54">
        <v>46163</v>
      </c>
      <c r="B23" s="78">
        <v>46839</v>
      </c>
      <c r="C23" s="78" t="s">
        <v>425</v>
      </c>
      <c r="D23" s="157">
        <v>46193</v>
      </c>
      <c r="E23" s="85">
        <v>432</v>
      </c>
      <c r="F23" s="85"/>
      <c r="G23" s="114"/>
      <c r="H23" s="33"/>
    </row>
    <row r="24" spans="1:9" ht="15.75" customHeight="1" x14ac:dyDescent="0.25">
      <c r="A24" s="54">
        <v>46167</v>
      </c>
      <c r="B24" s="78">
        <v>47080</v>
      </c>
      <c r="C24" s="78" t="s">
        <v>425</v>
      </c>
      <c r="D24" s="54">
        <v>46197</v>
      </c>
      <c r="E24" s="85">
        <v>28.4</v>
      </c>
      <c r="F24" s="85"/>
      <c r="G24" s="114"/>
      <c r="H24" s="33"/>
    </row>
    <row r="25" spans="1:9" ht="15.75" customHeight="1" x14ac:dyDescent="0.25">
      <c r="A25" s="54">
        <v>46169</v>
      </c>
      <c r="B25" s="78">
        <v>8473</v>
      </c>
      <c r="C25" s="78" t="s">
        <v>589</v>
      </c>
      <c r="D25" s="54">
        <v>46199</v>
      </c>
      <c r="E25" s="85">
        <v>2052</v>
      </c>
      <c r="F25" s="85"/>
      <c r="G25" s="114"/>
      <c r="H25" s="33"/>
    </row>
    <row r="26" spans="1:9" ht="15.75" customHeight="1" x14ac:dyDescent="0.25">
      <c r="A26" s="54">
        <v>46169</v>
      </c>
      <c r="B26" s="78">
        <v>49775</v>
      </c>
      <c r="C26" s="78" t="s">
        <v>36</v>
      </c>
      <c r="D26" s="54">
        <v>46200</v>
      </c>
      <c r="E26" s="85">
        <v>750</v>
      </c>
      <c r="F26" s="85"/>
      <c r="G26" s="114"/>
      <c r="H26" s="33"/>
    </row>
    <row r="27" spans="1:9" ht="15.75" customHeight="1" x14ac:dyDescent="0.25">
      <c r="A27" s="54">
        <v>46163</v>
      </c>
      <c r="B27" s="78">
        <v>49599</v>
      </c>
      <c r="C27" s="78" t="s">
        <v>36</v>
      </c>
      <c r="D27" s="54">
        <v>46194</v>
      </c>
      <c r="E27" s="85">
        <v>645</v>
      </c>
      <c r="F27" s="85"/>
      <c r="G27" s="114"/>
      <c r="H27" s="33"/>
    </row>
    <row r="28" spans="1:9" ht="15.75" customHeight="1" x14ac:dyDescent="0.25">
      <c r="A28" s="54">
        <v>46169</v>
      </c>
      <c r="B28" s="78">
        <v>213329</v>
      </c>
      <c r="C28" s="78" t="s">
        <v>580</v>
      </c>
      <c r="D28" s="54">
        <v>46200</v>
      </c>
      <c r="E28" s="85">
        <v>197</v>
      </c>
      <c r="F28" s="85"/>
      <c r="G28" s="114"/>
      <c r="H28" s="33"/>
    </row>
    <row r="29" spans="1:9" ht="15.75" customHeight="1" x14ac:dyDescent="0.25">
      <c r="A29" s="54">
        <v>46171</v>
      </c>
      <c r="B29" s="78">
        <v>213394</v>
      </c>
      <c r="C29" s="78" t="s">
        <v>580</v>
      </c>
      <c r="D29" s="54">
        <v>46202</v>
      </c>
      <c r="E29" s="85">
        <v>275.60000000000002</v>
      </c>
      <c r="F29" s="85"/>
      <c r="G29" s="114"/>
      <c r="H29" s="33"/>
    </row>
    <row r="30" spans="1:9" ht="15.75" customHeight="1" x14ac:dyDescent="0.25">
      <c r="A30" s="54">
        <v>46167</v>
      </c>
      <c r="B30" s="78">
        <v>213263</v>
      </c>
      <c r="C30" s="78" t="s">
        <v>580</v>
      </c>
      <c r="D30" s="54">
        <v>46198</v>
      </c>
      <c r="E30" s="85">
        <v>30.16</v>
      </c>
      <c r="F30" s="85"/>
      <c r="G30" s="114"/>
      <c r="H30" s="33"/>
    </row>
    <row r="31" spans="1:9" ht="15.75" customHeight="1" x14ac:dyDescent="0.25">
      <c r="A31" s="54">
        <v>46162</v>
      </c>
      <c r="B31" s="78">
        <v>19819</v>
      </c>
      <c r="C31" s="78" t="s">
        <v>438</v>
      </c>
      <c r="D31" s="54">
        <v>46193</v>
      </c>
      <c r="E31" s="85">
        <v>158.4</v>
      </c>
      <c r="F31" s="85"/>
      <c r="G31" s="114"/>
      <c r="H31" s="33"/>
    </row>
    <row r="32" spans="1:9" ht="15.75" customHeight="1" x14ac:dyDescent="0.25">
      <c r="A32" s="54">
        <v>46164</v>
      </c>
      <c r="B32" s="78">
        <v>19867</v>
      </c>
      <c r="C32" s="78" t="s">
        <v>438</v>
      </c>
      <c r="D32" s="54">
        <v>46195</v>
      </c>
      <c r="E32" s="85">
        <v>70</v>
      </c>
      <c r="F32" s="85"/>
      <c r="G32" s="114"/>
      <c r="H32" s="33"/>
    </row>
    <row r="33" spans="1:8" ht="15.75" customHeight="1" x14ac:dyDescent="0.25">
      <c r="A33" s="54">
        <v>46163</v>
      </c>
      <c r="B33" s="78">
        <v>2887</v>
      </c>
      <c r="C33" s="78" t="s">
        <v>582</v>
      </c>
      <c r="D33" s="54">
        <v>46194</v>
      </c>
      <c r="E33" s="85">
        <v>306</v>
      </c>
      <c r="F33" s="85"/>
      <c r="G33" s="114"/>
      <c r="H33" s="33"/>
    </row>
    <row r="34" spans="1:8" ht="15.75" customHeight="1" x14ac:dyDescent="0.25">
      <c r="A34" s="54">
        <v>46170</v>
      </c>
      <c r="B34" s="78">
        <v>2776</v>
      </c>
      <c r="C34" s="78" t="s">
        <v>582</v>
      </c>
      <c r="D34" s="54">
        <v>46201</v>
      </c>
      <c r="E34" s="85">
        <v>510</v>
      </c>
      <c r="F34" s="85"/>
      <c r="G34" s="114"/>
      <c r="H34" s="33"/>
    </row>
    <row r="35" spans="1:8" ht="15.75" customHeight="1" x14ac:dyDescent="0.25">
      <c r="A35" s="54">
        <v>46164</v>
      </c>
      <c r="B35" s="78">
        <v>30766</v>
      </c>
      <c r="C35" s="78" t="s">
        <v>434</v>
      </c>
      <c r="D35" s="54">
        <v>46195</v>
      </c>
      <c r="E35" s="85">
        <v>30</v>
      </c>
      <c r="F35" s="85"/>
      <c r="G35" s="114"/>
      <c r="H35" s="33"/>
    </row>
    <row r="36" spans="1:8" ht="15.75" customHeight="1" x14ac:dyDescent="0.25">
      <c r="A36" s="54">
        <v>46167</v>
      </c>
      <c r="B36" s="78">
        <v>30856</v>
      </c>
      <c r="C36" s="78" t="s">
        <v>434</v>
      </c>
      <c r="D36" s="54">
        <v>46198</v>
      </c>
      <c r="E36" s="85">
        <v>629.5</v>
      </c>
      <c r="F36" s="85"/>
      <c r="G36" s="114"/>
      <c r="H36" s="33"/>
    </row>
    <row r="37" spans="1:8" ht="15.75" customHeight="1" x14ac:dyDescent="0.25">
      <c r="A37" s="54">
        <v>46168</v>
      </c>
      <c r="B37" s="78">
        <v>30933</v>
      </c>
      <c r="C37" s="78" t="s">
        <v>434</v>
      </c>
      <c r="D37" s="54">
        <v>46199</v>
      </c>
      <c r="E37" s="85">
        <v>109.5</v>
      </c>
      <c r="F37" s="85"/>
      <c r="G37" s="114"/>
      <c r="H37" s="33"/>
    </row>
    <row r="38" spans="1:8" ht="15.75" customHeight="1" x14ac:dyDescent="0.25">
      <c r="A38" s="54">
        <v>46168</v>
      </c>
      <c r="B38" s="78">
        <v>252</v>
      </c>
      <c r="C38" s="78" t="s">
        <v>475</v>
      </c>
      <c r="D38" s="54">
        <v>46199</v>
      </c>
      <c r="E38" s="85">
        <v>355</v>
      </c>
      <c r="F38" s="85"/>
      <c r="G38" s="114"/>
      <c r="H38" s="33"/>
    </row>
    <row r="39" spans="1:8" ht="15.75" customHeight="1" x14ac:dyDescent="0.25">
      <c r="A39" s="54">
        <v>46170</v>
      </c>
      <c r="B39" s="78">
        <v>264</v>
      </c>
      <c r="C39" s="78" t="s">
        <v>475</v>
      </c>
      <c r="D39" s="54">
        <v>46201</v>
      </c>
      <c r="E39" s="85">
        <v>355</v>
      </c>
      <c r="F39" s="85"/>
      <c r="G39" s="114"/>
      <c r="H39" s="33"/>
    </row>
    <row r="40" spans="1:8" ht="15.75" customHeight="1" x14ac:dyDescent="0.25">
      <c r="A40" s="54">
        <v>46147</v>
      </c>
      <c r="B40" s="78">
        <v>4058</v>
      </c>
      <c r="C40" s="78" t="s">
        <v>594</v>
      </c>
      <c r="D40" s="54">
        <v>46175</v>
      </c>
      <c r="E40" s="85">
        <v>227</v>
      </c>
      <c r="F40" s="175"/>
      <c r="G40" s="114"/>
      <c r="H40" s="33"/>
    </row>
    <row r="41" spans="1:8" ht="15.75" customHeight="1" x14ac:dyDescent="0.25">
      <c r="A41" s="54">
        <v>46164</v>
      </c>
      <c r="B41" s="78">
        <v>42200</v>
      </c>
      <c r="C41" s="78" t="s">
        <v>594</v>
      </c>
      <c r="D41" s="54">
        <v>46199</v>
      </c>
      <c r="E41" s="85">
        <v>506</v>
      </c>
      <c r="F41" s="85"/>
      <c r="G41" s="114"/>
      <c r="H41" s="33"/>
    </row>
    <row r="42" spans="1:8" ht="15.75" customHeight="1" x14ac:dyDescent="0.25">
      <c r="A42" s="54">
        <v>46168</v>
      </c>
      <c r="B42" s="78">
        <v>4233</v>
      </c>
      <c r="C42" s="78" t="s">
        <v>594</v>
      </c>
      <c r="D42" s="54">
        <v>46203</v>
      </c>
      <c r="E42" s="85">
        <v>303.60000000000002</v>
      </c>
      <c r="F42" s="85"/>
      <c r="G42" s="114"/>
      <c r="H42" s="33"/>
    </row>
    <row r="43" spans="1:8" ht="15.75" customHeight="1" x14ac:dyDescent="0.25">
      <c r="A43" s="54">
        <v>46174</v>
      </c>
      <c r="B43" s="78">
        <v>47422</v>
      </c>
      <c r="C43" s="78" t="s">
        <v>595</v>
      </c>
      <c r="D43" s="54">
        <v>46203</v>
      </c>
      <c r="E43" s="85">
        <v>85</v>
      </c>
      <c r="F43" s="85"/>
      <c r="G43" s="114"/>
      <c r="H43" s="33"/>
    </row>
    <row r="44" spans="1:8" ht="15.75" customHeight="1" x14ac:dyDescent="0.25">
      <c r="A44" s="54">
        <v>46174</v>
      </c>
      <c r="B44" s="78">
        <v>6289</v>
      </c>
      <c r="C44" s="78" t="s">
        <v>467</v>
      </c>
      <c r="D44" s="54">
        <v>46204</v>
      </c>
      <c r="E44" s="85">
        <v>219</v>
      </c>
      <c r="F44" s="85"/>
      <c r="G44" s="114"/>
      <c r="H44" s="33"/>
    </row>
    <row r="45" spans="1:8" ht="15.75" customHeight="1" x14ac:dyDescent="0.25">
      <c r="A45" s="54">
        <v>46163</v>
      </c>
      <c r="B45" s="78">
        <v>40989</v>
      </c>
      <c r="C45" s="78" t="s">
        <v>516</v>
      </c>
      <c r="D45" s="54">
        <v>46194</v>
      </c>
      <c r="E45" s="85">
        <v>142.5</v>
      </c>
      <c r="F45" s="85"/>
      <c r="G45" s="114"/>
      <c r="H45" s="33"/>
    </row>
    <row r="46" spans="1:8" ht="15.75" customHeight="1" x14ac:dyDescent="0.25">
      <c r="A46" s="54">
        <v>46169</v>
      </c>
      <c r="B46" s="78">
        <v>41034</v>
      </c>
      <c r="C46" s="78" t="s">
        <v>516</v>
      </c>
      <c r="D46" s="54">
        <v>46200</v>
      </c>
      <c r="E46" s="85">
        <v>311.60000000000002</v>
      </c>
      <c r="F46" s="85"/>
      <c r="G46" s="114"/>
      <c r="H46" s="33"/>
    </row>
    <row r="47" spans="1:8" ht="15.75" customHeight="1" x14ac:dyDescent="0.25">
      <c r="A47" s="54">
        <v>46174</v>
      </c>
      <c r="B47" s="114"/>
      <c r="C47" s="78" t="s">
        <v>125</v>
      </c>
      <c r="D47" s="54">
        <v>46174</v>
      </c>
      <c r="E47" s="85">
        <v>60.52</v>
      </c>
      <c r="F47" s="175"/>
      <c r="G47" s="114"/>
      <c r="H47" s="33"/>
    </row>
    <row r="48" spans="1:8" ht="15.75" customHeight="1" x14ac:dyDescent="0.25">
      <c r="A48" s="114"/>
      <c r="B48" s="114"/>
      <c r="C48" s="78" t="s">
        <v>593</v>
      </c>
      <c r="D48" s="54">
        <v>46174</v>
      </c>
      <c r="E48" s="85">
        <v>130.9</v>
      </c>
      <c r="F48" s="175"/>
      <c r="G48" s="114"/>
      <c r="H48" s="33"/>
    </row>
    <row r="49" spans="1:9" ht="15.75" customHeight="1" x14ac:dyDescent="0.25">
      <c r="A49" s="114"/>
      <c r="B49" s="114"/>
      <c r="C49" s="78" t="s">
        <v>72</v>
      </c>
      <c r="D49" s="54">
        <v>46174</v>
      </c>
      <c r="E49" s="85">
        <v>375</v>
      </c>
      <c r="F49" s="175"/>
      <c r="G49" s="114"/>
      <c r="H49" s="33"/>
    </row>
    <row r="50" spans="1:9" ht="15.75" customHeight="1" x14ac:dyDescent="0.25">
      <c r="A50" s="114"/>
      <c r="B50" s="114"/>
      <c r="C50" s="78"/>
      <c r="D50" s="54"/>
      <c r="E50" s="85"/>
      <c r="F50" s="175"/>
      <c r="G50" s="114"/>
      <c r="H50" s="33"/>
    </row>
    <row r="51" spans="1:9" ht="15.75" customHeight="1" x14ac:dyDescent="0.25">
      <c r="A51" s="78"/>
      <c r="B51" s="114"/>
      <c r="C51" s="78" t="s">
        <v>494</v>
      </c>
      <c r="D51" s="54">
        <v>46181</v>
      </c>
      <c r="E51" s="85">
        <v>741.34</v>
      </c>
      <c r="F51" s="175"/>
      <c r="G51" s="114"/>
      <c r="H51" s="33"/>
    </row>
    <row r="52" spans="1:9" ht="15.75" customHeight="1" x14ac:dyDescent="0.25">
      <c r="A52" s="54">
        <v>46167</v>
      </c>
      <c r="B52" s="78">
        <v>6182</v>
      </c>
      <c r="C52" s="110" t="s">
        <v>518</v>
      </c>
      <c r="D52" s="54">
        <v>46197</v>
      </c>
      <c r="E52" s="85">
        <v>174</v>
      </c>
      <c r="F52" s="85"/>
      <c r="G52" s="114"/>
      <c r="H52" s="33"/>
    </row>
    <row r="53" spans="1:9" ht="15.75" customHeight="1" x14ac:dyDescent="0.25">
      <c r="A53" s="54">
        <v>46169</v>
      </c>
      <c r="B53" s="78">
        <v>6233</v>
      </c>
      <c r="C53" s="78" t="s">
        <v>518</v>
      </c>
      <c r="D53" s="54">
        <v>46199</v>
      </c>
      <c r="E53" s="85">
        <v>238.5</v>
      </c>
      <c r="F53" s="85"/>
      <c r="G53" s="114"/>
      <c r="H53" s="33"/>
    </row>
    <row r="54" spans="1:9" ht="15.75" customHeight="1" x14ac:dyDescent="0.25">
      <c r="A54" s="54">
        <v>46170</v>
      </c>
      <c r="B54" s="78">
        <v>6242</v>
      </c>
      <c r="C54" s="78" t="s">
        <v>518</v>
      </c>
      <c r="D54" s="54">
        <v>46200</v>
      </c>
      <c r="E54" s="85">
        <v>636</v>
      </c>
      <c r="F54" s="85"/>
      <c r="G54" s="114"/>
      <c r="H54" s="33"/>
    </row>
    <row r="55" spans="1:9" ht="15.75" customHeight="1" x14ac:dyDescent="0.25">
      <c r="A55" s="114"/>
      <c r="B55" s="114"/>
      <c r="C55" s="114"/>
      <c r="D55" s="114"/>
      <c r="E55" s="175"/>
      <c r="F55" s="175"/>
      <c r="G55" s="114"/>
      <c r="H55" s="33"/>
    </row>
    <row r="56" spans="1:9" ht="15.75" customHeight="1" x14ac:dyDescent="0.25">
      <c r="A56" s="114"/>
      <c r="B56" s="114"/>
      <c r="C56" s="114"/>
      <c r="D56" s="114"/>
      <c r="E56" s="175"/>
      <c r="F56" s="175"/>
      <c r="G56" s="114"/>
      <c r="H56" s="33"/>
    </row>
    <row r="57" spans="1:9" ht="15.75" customHeight="1" x14ac:dyDescent="0.25">
      <c r="A57" s="114"/>
      <c r="B57" s="114"/>
      <c r="C57" s="114"/>
      <c r="D57" s="114"/>
      <c r="E57" s="175"/>
      <c r="F57" s="175"/>
      <c r="G57" s="114"/>
      <c r="H57" s="33"/>
    </row>
    <row r="58" spans="1:9" ht="15.75" customHeight="1" x14ac:dyDescent="0.25">
      <c r="A58" s="114"/>
      <c r="B58" s="114"/>
      <c r="C58" s="114"/>
      <c r="D58" s="114"/>
      <c r="E58" s="175"/>
      <c r="F58" s="175"/>
      <c r="G58" s="114"/>
      <c r="H58" s="33"/>
    </row>
    <row r="59" spans="1:9" ht="15.75" customHeight="1" x14ac:dyDescent="0.25">
      <c r="A59" s="114"/>
      <c r="B59" s="114"/>
      <c r="C59" s="78"/>
      <c r="D59" s="54"/>
      <c r="E59" s="175"/>
      <c r="F59" s="85"/>
      <c r="G59" s="114"/>
      <c r="H59" s="115"/>
      <c r="I59" s="163"/>
    </row>
    <row r="60" spans="1:9" ht="15.75" customHeight="1" x14ac:dyDescent="0.25">
      <c r="A60" s="114"/>
      <c r="B60" s="114"/>
      <c r="C60" s="114"/>
      <c r="D60" s="114"/>
      <c r="E60" s="175"/>
      <c r="F60" s="175"/>
      <c r="G60" s="114"/>
      <c r="H60" s="171">
        <f>SUM(H2:H59)</f>
        <v>0</v>
      </c>
    </row>
    <row r="61" spans="1:9" ht="15.75" customHeight="1" x14ac:dyDescent="0.25">
      <c r="E61" s="133">
        <f t="shared" ref="E61:F61" si="0">SUM(E2:E60)</f>
        <v>17142.7</v>
      </c>
      <c r="F61" s="133">
        <f t="shared" si="0"/>
        <v>0</v>
      </c>
    </row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54">
        <v>46120</v>
      </c>
      <c r="B4" s="78">
        <v>44013</v>
      </c>
      <c r="C4" s="78" t="s">
        <v>525</v>
      </c>
      <c r="D4" s="54">
        <v>46150</v>
      </c>
      <c r="E4" s="85">
        <v>20.2</v>
      </c>
      <c r="F4" s="85"/>
      <c r="G4" s="114"/>
      <c r="H4" s="34"/>
    </row>
    <row r="5" spans="1:9" x14ac:dyDescent="0.25">
      <c r="A5" s="54">
        <v>46136</v>
      </c>
      <c r="B5" s="78">
        <v>45037</v>
      </c>
      <c r="C5" s="78" t="s">
        <v>525</v>
      </c>
      <c r="D5" s="54">
        <v>46166</v>
      </c>
      <c r="E5" s="85">
        <v>490</v>
      </c>
      <c r="F5" s="85"/>
      <c r="G5" s="114"/>
      <c r="H5" s="34"/>
    </row>
    <row r="6" spans="1:9" x14ac:dyDescent="0.25">
      <c r="A6" s="54">
        <v>46134</v>
      </c>
      <c r="B6" s="78">
        <v>44926</v>
      </c>
      <c r="C6" s="78" t="s">
        <v>525</v>
      </c>
      <c r="D6" s="54">
        <v>46164</v>
      </c>
      <c r="E6" s="85">
        <v>14</v>
      </c>
      <c r="F6" s="85"/>
      <c r="G6" s="114"/>
      <c r="H6" s="33"/>
    </row>
    <row r="7" spans="1:9" x14ac:dyDescent="0.25">
      <c r="A7" s="187">
        <v>46135</v>
      </c>
      <c r="B7" s="78">
        <v>19613</v>
      </c>
      <c r="C7" s="110" t="s">
        <v>581</v>
      </c>
      <c r="D7" s="54">
        <v>46165</v>
      </c>
      <c r="E7" s="85">
        <v>35</v>
      </c>
      <c r="F7" s="85"/>
      <c r="G7" s="114"/>
      <c r="H7" s="33"/>
    </row>
    <row r="8" spans="1:9" x14ac:dyDescent="0.25">
      <c r="A8" s="54">
        <v>46132</v>
      </c>
      <c r="B8" s="78">
        <v>5717</v>
      </c>
      <c r="C8" s="78" t="s">
        <v>518</v>
      </c>
      <c r="D8" s="54">
        <v>46162</v>
      </c>
      <c r="E8" s="85">
        <v>143.30000000000001</v>
      </c>
      <c r="F8" s="85"/>
      <c r="G8" s="114"/>
      <c r="H8" s="33"/>
    </row>
    <row r="9" spans="1:9" x14ac:dyDescent="0.25">
      <c r="A9" s="187">
        <v>46132</v>
      </c>
      <c r="B9" s="78">
        <v>5718</v>
      </c>
      <c r="C9" s="78" t="s">
        <v>518</v>
      </c>
      <c r="D9" s="54">
        <v>46162</v>
      </c>
      <c r="E9" s="85">
        <v>53.8</v>
      </c>
      <c r="F9" s="85"/>
      <c r="G9" s="114"/>
      <c r="H9" s="33"/>
    </row>
    <row r="10" spans="1:9" x14ac:dyDescent="0.25">
      <c r="A10" s="54">
        <v>46125</v>
      </c>
      <c r="B10" s="78" t="s">
        <v>583</v>
      </c>
      <c r="C10" s="78" t="s">
        <v>584</v>
      </c>
      <c r="D10" s="54">
        <v>46155</v>
      </c>
      <c r="E10" s="85">
        <v>390</v>
      </c>
      <c r="F10" s="85"/>
      <c r="G10" s="114"/>
      <c r="H10" s="33"/>
    </row>
    <row r="11" spans="1:9" x14ac:dyDescent="0.25">
      <c r="A11" s="54">
        <v>46126</v>
      </c>
      <c r="B11" s="78">
        <v>29068</v>
      </c>
      <c r="C11" s="78" t="s">
        <v>523</v>
      </c>
      <c r="D11" s="157">
        <v>46156</v>
      </c>
      <c r="E11" s="85">
        <v>205.16</v>
      </c>
      <c r="F11" s="85"/>
      <c r="G11" s="114"/>
      <c r="H11" s="33"/>
    </row>
    <row r="12" spans="1:9" x14ac:dyDescent="0.25">
      <c r="A12" s="181">
        <v>46155</v>
      </c>
      <c r="B12" s="182"/>
      <c r="C12" s="183" t="s">
        <v>562</v>
      </c>
      <c r="D12" s="184">
        <v>46155</v>
      </c>
      <c r="E12" s="186">
        <v>113.38</v>
      </c>
      <c r="F12" s="186"/>
      <c r="G12" s="114"/>
      <c r="H12" s="33"/>
    </row>
    <row r="13" spans="1:9" x14ac:dyDescent="0.25">
      <c r="A13" s="54">
        <v>46120</v>
      </c>
      <c r="B13" s="78">
        <v>22086</v>
      </c>
      <c r="C13" s="78" t="s">
        <v>579</v>
      </c>
      <c r="D13" s="54">
        <v>46150</v>
      </c>
      <c r="E13" s="85">
        <v>166</v>
      </c>
      <c r="F13" s="85"/>
      <c r="G13" s="114"/>
      <c r="H13" s="33"/>
    </row>
    <row r="14" spans="1:9" x14ac:dyDescent="0.25">
      <c r="A14" s="54">
        <v>46127</v>
      </c>
      <c r="B14" s="78">
        <v>22119</v>
      </c>
      <c r="C14" s="78" t="s">
        <v>579</v>
      </c>
      <c r="D14" s="54">
        <v>46157</v>
      </c>
      <c r="E14" s="85">
        <v>38.630000000000003</v>
      </c>
      <c r="F14" s="85"/>
      <c r="G14" s="114"/>
      <c r="H14" s="33"/>
    </row>
    <row r="15" spans="1:9" x14ac:dyDescent="0.25">
      <c r="A15" s="54">
        <v>46118</v>
      </c>
      <c r="B15" s="78">
        <v>27238</v>
      </c>
      <c r="C15" s="78" t="s">
        <v>193</v>
      </c>
      <c r="D15" s="54">
        <v>46148</v>
      </c>
      <c r="E15" s="85">
        <v>66.5</v>
      </c>
      <c r="F15" s="85"/>
      <c r="G15" s="114"/>
      <c r="H15" s="33"/>
    </row>
    <row r="16" spans="1:9" x14ac:dyDescent="0.25">
      <c r="A16" s="54">
        <v>46118</v>
      </c>
      <c r="B16" s="78">
        <v>27229</v>
      </c>
      <c r="C16" s="78" t="s">
        <v>193</v>
      </c>
      <c r="D16" s="54">
        <v>46148</v>
      </c>
      <c r="E16" s="85">
        <v>341</v>
      </c>
      <c r="F16" s="85"/>
      <c r="G16" s="114"/>
      <c r="H16" s="33"/>
    </row>
    <row r="17" spans="1:9" ht="15.75" customHeight="1" x14ac:dyDescent="0.25">
      <c r="A17" s="54">
        <v>46135</v>
      </c>
      <c r="B17" s="78">
        <v>27376</v>
      </c>
      <c r="C17" s="110" t="s">
        <v>193</v>
      </c>
      <c r="D17" s="54">
        <v>46165</v>
      </c>
      <c r="E17" s="85">
        <v>48.75</v>
      </c>
      <c r="F17" s="85"/>
      <c r="G17" s="114"/>
      <c r="H17" s="33"/>
    </row>
    <row r="18" spans="1:9" ht="15.75" customHeight="1" x14ac:dyDescent="0.25">
      <c r="A18" s="54">
        <v>46139</v>
      </c>
      <c r="B18" s="78">
        <v>40739</v>
      </c>
      <c r="C18" s="78" t="s">
        <v>587</v>
      </c>
      <c r="D18" s="54">
        <v>46169</v>
      </c>
      <c r="E18" s="85">
        <v>442</v>
      </c>
      <c r="F18" s="85"/>
      <c r="G18" s="114"/>
      <c r="H18" s="33"/>
    </row>
    <row r="19" spans="1:9" ht="15.75" customHeight="1" x14ac:dyDescent="0.25">
      <c r="A19" s="54">
        <v>46141</v>
      </c>
      <c r="B19" s="78">
        <v>40762</v>
      </c>
      <c r="C19" s="78" t="s">
        <v>587</v>
      </c>
      <c r="D19" s="157">
        <v>46171</v>
      </c>
      <c r="E19" s="85">
        <v>220.8</v>
      </c>
      <c r="F19" s="85"/>
      <c r="G19" s="114"/>
      <c r="H19" s="33"/>
    </row>
    <row r="20" spans="1:9" ht="15.75" customHeight="1" x14ac:dyDescent="0.25">
      <c r="A20" s="54">
        <v>46142</v>
      </c>
      <c r="B20" s="78">
        <v>40778</v>
      </c>
      <c r="C20" s="78" t="s">
        <v>587</v>
      </c>
      <c r="D20" s="157">
        <v>46172</v>
      </c>
      <c r="E20" s="85">
        <v>56</v>
      </c>
      <c r="F20" s="85"/>
      <c r="G20" s="114"/>
      <c r="H20" s="33"/>
      <c r="I20" s="4"/>
    </row>
    <row r="21" spans="1:9" ht="15.75" customHeight="1" x14ac:dyDescent="0.25">
      <c r="A21" s="54">
        <v>46139</v>
      </c>
      <c r="B21" s="78">
        <v>45194</v>
      </c>
      <c r="C21" s="78" t="s">
        <v>525</v>
      </c>
      <c r="D21" s="157">
        <v>46169</v>
      </c>
      <c r="E21" s="85">
        <v>227</v>
      </c>
      <c r="F21" s="85"/>
      <c r="G21" s="114"/>
      <c r="H21" s="33"/>
    </row>
    <row r="22" spans="1:9" ht="15.75" customHeight="1" x14ac:dyDescent="0.25">
      <c r="A22" s="54">
        <v>46141</v>
      </c>
      <c r="B22" s="78">
        <v>45365</v>
      </c>
      <c r="C22" s="78" t="s">
        <v>525</v>
      </c>
      <c r="D22" s="157">
        <v>46171</v>
      </c>
      <c r="E22" s="85">
        <v>98</v>
      </c>
      <c r="F22" s="85"/>
      <c r="G22" s="114"/>
      <c r="H22" s="33"/>
    </row>
    <row r="23" spans="1:9" ht="15.75" customHeight="1" x14ac:dyDescent="0.25">
      <c r="A23" s="54">
        <v>46141</v>
      </c>
      <c r="B23" s="78">
        <v>29718</v>
      </c>
      <c r="C23" s="78" t="s">
        <v>523</v>
      </c>
      <c r="D23" s="157">
        <v>46171</v>
      </c>
      <c r="E23" s="85">
        <v>93</v>
      </c>
      <c r="F23" s="85"/>
      <c r="G23" s="114"/>
      <c r="H23" s="33"/>
    </row>
    <row r="24" spans="1:9" ht="15.75" customHeight="1" x14ac:dyDescent="0.25">
      <c r="A24" s="54">
        <v>46160</v>
      </c>
      <c r="B24" s="78">
        <v>30523</v>
      </c>
      <c r="C24" s="78" t="s">
        <v>523</v>
      </c>
      <c r="D24" s="54">
        <v>46160</v>
      </c>
      <c r="E24" s="85">
        <v>129.5</v>
      </c>
      <c r="F24" s="175"/>
      <c r="G24" s="114"/>
      <c r="H24" s="33"/>
    </row>
    <row r="25" spans="1:9" ht="15.75" customHeight="1" x14ac:dyDescent="0.25">
      <c r="A25" s="114"/>
      <c r="B25" s="114"/>
      <c r="C25" s="78" t="s">
        <v>588</v>
      </c>
      <c r="D25" s="54">
        <v>46154</v>
      </c>
      <c r="E25" s="85">
        <v>46.3</v>
      </c>
      <c r="F25" s="175"/>
      <c r="G25" s="114"/>
      <c r="H25" s="33"/>
    </row>
    <row r="26" spans="1:9" ht="15.75" customHeight="1" x14ac:dyDescent="0.25">
      <c r="A26" s="54">
        <v>46139</v>
      </c>
      <c r="B26" s="114"/>
      <c r="C26" s="78" t="s">
        <v>499</v>
      </c>
      <c r="D26" s="54">
        <v>46139</v>
      </c>
      <c r="E26" s="85">
        <v>315</v>
      </c>
      <c r="F26" s="175"/>
      <c r="G26" s="114"/>
      <c r="H26" s="33"/>
    </row>
    <row r="27" spans="1:9" ht="15.75" customHeight="1" x14ac:dyDescent="0.25">
      <c r="A27" s="114"/>
      <c r="B27" s="114"/>
      <c r="C27" s="78" t="s">
        <v>582</v>
      </c>
      <c r="D27" s="54">
        <v>46141</v>
      </c>
      <c r="E27" s="85">
        <v>416.02</v>
      </c>
      <c r="F27" s="175"/>
      <c r="G27" s="114"/>
      <c r="H27" s="33"/>
    </row>
    <row r="28" spans="1:9" ht="15.75" customHeight="1" x14ac:dyDescent="0.25">
      <c r="A28" s="114"/>
      <c r="B28" s="114"/>
      <c r="C28" s="78" t="s">
        <v>434</v>
      </c>
      <c r="D28" s="54">
        <v>46142</v>
      </c>
      <c r="E28" s="85">
        <v>51.6</v>
      </c>
      <c r="F28" s="175"/>
      <c r="G28" s="114"/>
      <c r="H28" s="33"/>
    </row>
    <row r="29" spans="1:9" ht="15.75" customHeight="1" x14ac:dyDescent="0.25">
      <c r="A29" s="114"/>
      <c r="B29" s="114"/>
      <c r="C29" s="78" t="s">
        <v>590</v>
      </c>
      <c r="D29" s="116">
        <v>46143</v>
      </c>
      <c r="E29" s="85">
        <v>344</v>
      </c>
      <c r="F29" s="175"/>
      <c r="G29" s="114"/>
      <c r="H29" s="33"/>
    </row>
    <row r="30" spans="1:9" ht="15.75" customHeight="1" x14ac:dyDescent="0.25">
      <c r="A30" s="114"/>
      <c r="B30" s="114"/>
      <c r="C30" s="78" t="s">
        <v>591</v>
      </c>
      <c r="D30" s="54">
        <v>46147</v>
      </c>
      <c r="E30" s="85">
        <v>428.3</v>
      </c>
      <c r="F30" s="175"/>
      <c r="G30" s="114"/>
      <c r="H30" s="33"/>
    </row>
    <row r="31" spans="1:9" ht="15.75" customHeight="1" x14ac:dyDescent="0.25">
      <c r="A31" s="114"/>
      <c r="B31" s="114"/>
      <c r="C31" s="78" t="s">
        <v>592</v>
      </c>
      <c r="D31" s="54">
        <v>46147</v>
      </c>
      <c r="E31" s="85">
        <v>865.2</v>
      </c>
      <c r="F31" s="175"/>
      <c r="G31" s="114"/>
      <c r="H31" s="33"/>
    </row>
    <row r="32" spans="1:9" ht="15.75" customHeight="1" x14ac:dyDescent="0.25">
      <c r="A32" s="114"/>
      <c r="B32" s="114"/>
      <c r="C32" s="78" t="s">
        <v>593</v>
      </c>
      <c r="D32" s="54">
        <v>46146</v>
      </c>
      <c r="E32" s="85">
        <v>153</v>
      </c>
      <c r="F32" s="175"/>
      <c r="G32" s="114"/>
      <c r="H32" s="33"/>
    </row>
    <row r="33" spans="1:8" ht="15.75" customHeight="1" x14ac:dyDescent="0.25">
      <c r="A33" s="114"/>
      <c r="B33" s="114"/>
      <c r="C33" s="78" t="s">
        <v>459</v>
      </c>
      <c r="D33" s="54">
        <v>46148</v>
      </c>
      <c r="E33" s="85">
        <v>1488.32</v>
      </c>
      <c r="F33" s="175"/>
      <c r="G33" s="114"/>
      <c r="H33" s="33"/>
    </row>
    <row r="34" spans="1:8" ht="15.75" customHeight="1" x14ac:dyDescent="0.25">
      <c r="A34" s="114"/>
      <c r="B34" s="114"/>
      <c r="C34" s="78" t="s">
        <v>499</v>
      </c>
      <c r="D34" s="54">
        <v>46147</v>
      </c>
      <c r="E34" s="85">
        <v>280</v>
      </c>
      <c r="F34" s="175"/>
      <c r="G34" s="114"/>
      <c r="H34" s="33"/>
    </row>
    <row r="35" spans="1:8" ht="15.75" customHeight="1" x14ac:dyDescent="0.25">
      <c r="A35" s="114"/>
      <c r="B35" s="114"/>
      <c r="C35" s="78" t="s">
        <v>467</v>
      </c>
      <c r="D35" s="54">
        <v>46149</v>
      </c>
      <c r="E35" s="85">
        <v>1274.9000000000001</v>
      </c>
      <c r="F35" s="175"/>
      <c r="G35" s="114"/>
      <c r="H35" s="33"/>
    </row>
    <row r="36" spans="1:8" ht="15.75" customHeight="1" x14ac:dyDescent="0.25">
      <c r="A36" s="114"/>
      <c r="B36" s="114"/>
      <c r="C36" s="78" t="s">
        <v>434</v>
      </c>
      <c r="D36" s="54">
        <v>46149</v>
      </c>
      <c r="E36" s="85">
        <v>511.4</v>
      </c>
      <c r="F36" s="175"/>
      <c r="G36" s="114"/>
      <c r="H36" s="33"/>
    </row>
    <row r="37" spans="1:8" ht="15.75" customHeight="1" x14ac:dyDescent="0.25">
      <c r="A37" s="114"/>
      <c r="B37" s="114"/>
      <c r="C37" s="78" t="s">
        <v>536</v>
      </c>
      <c r="D37" s="54">
        <v>46149</v>
      </c>
      <c r="E37" s="85">
        <v>180.48</v>
      </c>
      <c r="F37" s="175"/>
      <c r="G37" s="114"/>
      <c r="H37" s="33"/>
    </row>
    <row r="38" spans="1:8" ht="15.75" customHeight="1" x14ac:dyDescent="0.25">
      <c r="A38" s="114"/>
      <c r="B38" s="114"/>
      <c r="C38" s="78" t="s">
        <v>496</v>
      </c>
      <c r="D38" s="54">
        <v>46149</v>
      </c>
      <c r="E38" s="85">
        <v>275.64</v>
      </c>
      <c r="F38" s="175"/>
      <c r="G38" s="114"/>
      <c r="H38" s="33"/>
    </row>
    <row r="39" spans="1:8" ht="15.75" customHeight="1" x14ac:dyDescent="0.25">
      <c r="A39" s="114"/>
      <c r="B39" s="114"/>
      <c r="C39" s="78" t="s">
        <v>245</v>
      </c>
      <c r="D39" s="54">
        <v>46149</v>
      </c>
      <c r="E39" s="85">
        <v>800</v>
      </c>
      <c r="F39" s="175"/>
      <c r="G39" s="114"/>
      <c r="H39" s="33"/>
    </row>
    <row r="40" spans="1:8" ht="15.75" customHeight="1" x14ac:dyDescent="0.25">
      <c r="A40" s="114"/>
      <c r="B40" s="114"/>
      <c r="C40" s="78" t="s">
        <v>499</v>
      </c>
      <c r="D40" s="54">
        <v>46149</v>
      </c>
      <c r="E40" s="85">
        <v>110</v>
      </c>
      <c r="F40" s="175"/>
      <c r="G40" s="114"/>
      <c r="H40" s="33"/>
    </row>
    <row r="41" spans="1:8" ht="15.75" customHeight="1" x14ac:dyDescent="0.25">
      <c r="A41" s="114"/>
      <c r="B41" s="114"/>
      <c r="C41" s="78" t="s">
        <v>529</v>
      </c>
      <c r="D41" s="54">
        <v>46154</v>
      </c>
      <c r="E41" s="85">
        <v>218.4</v>
      </c>
      <c r="F41" s="175"/>
      <c r="G41" s="114"/>
      <c r="H41" s="33"/>
    </row>
    <row r="42" spans="1:8" ht="15.75" customHeight="1" x14ac:dyDescent="0.25">
      <c r="A42" s="54">
        <v>46139</v>
      </c>
      <c r="B42" s="78">
        <v>25122</v>
      </c>
      <c r="C42" s="78" t="s">
        <v>72</v>
      </c>
      <c r="D42" s="54">
        <v>46157</v>
      </c>
      <c r="E42" s="85">
        <v>125</v>
      </c>
      <c r="F42" s="175"/>
      <c r="G42" s="114"/>
      <c r="H42" s="33"/>
    </row>
    <row r="43" spans="1:8" ht="15.75" customHeight="1" x14ac:dyDescent="0.25">
      <c r="A43" s="54">
        <v>46148</v>
      </c>
      <c r="B43" s="78">
        <v>25491</v>
      </c>
      <c r="C43" s="78" t="s">
        <v>72</v>
      </c>
      <c r="D43" s="54">
        <v>46157</v>
      </c>
      <c r="E43" s="85">
        <v>90</v>
      </c>
      <c r="F43" s="175"/>
      <c r="G43" s="114"/>
      <c r="H43" s="33"/>
    </row>
    <row r="44" spans="1:8" ht="15.75" customHeight="1" x14ac:dyDescent="0.25">
      <c r="A44" s="114"/>
      <c r="B44" s="114"/>
      <c r="C44" s="78" t="s">
        <v>434</v>
      </c>
      <c r="D44" s="54">
        <v>46149</v>
      </c>
      <c r="E44" s="85">
        <v>134.24</v>
      </c>
      <c r="F44" s="175"/>
      <c r="G44" s="114"/>
      <c r="H44" s="33"/>
    </row>
    <row r="45" spans="1:8" ht="15.75" customHeight="1" x14ac:dyDescent="0.25">
      <c r="A45" s="114"/>
      <c r="B45" s="114"/>
      <c r="C45" s="78" t="s">
        <v>494</v>
      </c>
      <c r="D45" s="54">
        <v>46104</v>
      </c>
      <c r="E45" s="85">
        <v>548.79</v>
      </c>
      <c r="F45" s="175"/>
      <c r="G45" s="114"/>
      <c r="H45" s="33"/>
    </row>
    <row r="46" spans="1:8" ht="15.75" customHeight="1" x14ac:dyDescent="0.25">
      <c r="A46" s="114"/>
      <c r="B46" s="114"/>
      <c r="C46" s="78" t="s">
        <v>499</v>
      </c>
      <c r="D46" s="54">
        <v>46154</v>
      </c>
      <c r="E46" s="85">
        <v>620</v>
      </c>
      <c r="F46" s="175"/>
      <c r="G46" s="114"/>
      <c r="H46" s="33"/>
    </row>
    <row r="47" spans="1:8" ht="15.75" customHeight="1" x14ac:dyDescent="0.25">
      <c r="A47" s="114"/>
      <c r="B47" s="114"/>
      <c r="C47" s="78" t="s">
        <v>529</v>
      </c>
      <c r="D47" s="54">
        <v>46156</v>
      </c>
      <c r="E47" s="85">
        <v>192.66</v>
      </c>
      <c r="F47" s="175"/>
      <c r="G47" s="114"/>
      <c r="H47" s="33"/>
    </row>
    <row r="48" spans="1:8" ht="15.75" customHeight="1" x14ac:dyDescent="0.25">
      <c r="A48" s="54">
        <v>46156</v>
      </c>
      <c r="B48" s="78">
        <v>6040</v>
      </c>
      <c r="C48" s="78" t="s">
        <v>467</v>
      </c>
      <c r="D48" s="54">
        <v>46156</v>
      </c>
      <c r="E48" s="85">
        <v>112.7</v>
      </c>
      <c r="F48" s="175"/>
      <c r="G48" s="114"/>
      <c r="H48" s="33"/>
    </row>
    <row r="49" spans="1:9" ht="15.75" customHeight="1" x14ac:dyDescent="0.25">
      <c r="A49" s="114"/>
      <c r="B49" s="114"/>
      <c r="C49" s="78" t="s">
        <v>596</v>
      </c>
      <c r="D49" s="54">
        <v>46160</v>
      </c>
      <c r="E49" s="85">
        <v>72.66</v>
      </c>
      <c r="F49" s="175"/>
      <c r="G49" s="114"/>
      <c r="H49" s="33"/>
    </row>
    <row r="50" spans="1:9" ht="15.75" customHeight="1" x14ac:dyDescent="0.25">
      <c r="A50" s="54">
        <v>46137</v>
      </c>
      <c r="B50" s="78">
        <v>1063</v>
      </c>
      <c r="C50" s="78" t="s">
        <v>597</v>
      </c>
      <c r="D50" s="54">
        <v>46160</v>
      </c>
      <c r="E50" s="85">
        <v>117</v>
      </c>
      <c r="F50" s="175"/>
      <c r="G50" s="114"/>
      <c r="H50" s="33"/>
    </row>
    <row r="51" spans="1:9" ht="15.75" customHeight="1" x14ac:dyDescent="0.25">
      <c r="A51" s="114"/>
      <c r="B51" s="114"/>
      <c r="C51" s="78" t="s">
        <v>598</v>
      </c>
      <c r="D51" s="54">
        <v>46160</v>
      </c>
      <c r="E51" s="85">
        <v>50</v>
      </c>
      <c r="F51" s="175"/>
      <c r="G51" s="114"/>
      <c r="H51" s="33"/>
    </row>
    <row r="52" spans="1:9" ht="15.75" customHeight="1" x14ac:dyDescent="0.25">
      <c r="A52" s="54"/>
      <c r="B52" s="78">
        <v>47159</v>
      </c>
      <c r="C52" s="110" t="s">
        <v>595</v>
      </c>
      <c r="D52" s="54" t="s">
        <v>599</v>
      </c>
      <c r="E52" s="85">
        <v>26.5</v>
      </c>
      <c r="F52" s="85"/>
      <c r="G52" s="114"/>
      <c r="H52" s="33"/>
    </row>
    <row r="53" spans="1:9" ht="15.75" customHeight="1" x14ac:dyDescent="0.25">
      <c r="A53" s="114"/>
      <c r="B53" s="78">
        <v>417274</v>
      </c>
      <c r="C53" s="78" t="s">
        <v>443</v>
      </c>
      <c r="D53" s="54">
        <v>46160</v>
      </c>
      <c r="E53" s="85">
        <v>50.79</v>
      </c>
      <c r="F53" s="175"/>
      <c r="G53" s="114"/>
      <c r="H53" s="33"/>
    </row>
    <row r="54" spans="1:9" ht="15.75" customHeight="1" x14ac:dyDescent="0.25">
      <c r="A54" s="114"/>
      <c r="B54" s="114"/>
      <c r="C54" s="78" t="s">
        <v>125</v>
      </c>
      <c r="D54" s="54" t="s">
        <v>599</v>
      </c>
      <c r="E54" s="85">
        <v>26.07</v>
      </c>
      <c r="F54" s="175"/>
      <c r="G54" s="114"/>
      <c r="H54" s="33"/>
    </row>
    <row r="55" spans="1:9" ht="15.75" customHeight="1" x14ac:dyDescent="0.25">
      <c r="A55" s="54">
        <v>46162</v>
      </c>
      <c r="B55" s="78" t="s">
        <v>431</v>
      </c>
      <c r="C55" s="78" t="s">
        <v>459</v>
      </c>
      <c r="D55" s="54">
        <v>46162</v>
      </c>
      <c r="E55" s="85">
        <v>720</v>
      </c>
      <c r="F55" s="175"/>
      <c r="G55" s="114"/>
      <c r="H55" s="33"/>
    </row>
    <row r="56" spans="1:9" ht="15.75" customHeight="1" x14ac:dyDescent="0.25">
      <c r="A56" s="114"/>
      <c r="B56" s="114"/>
      <c r="C56" s="78" t="s">
        <v>434</v>
      </c>
      <c r="D56" s="54">
        <v>46162</v>
      </c>
      <c r="E56" s="85">
        <v>109.5</v>
      </c>
      <c r="F56" s="175"/>
      <c r="G56" s="114"/>
      <c r="H56" s="33"/>
    </row>
    <row r="57" spans="1:9" ht="15.75" customHeight="1" x14ac:dyDescent="0.25">
      <c r="A57" s="114"/>
      <c r="B57" s="114"/>
      <c r="C57" s="78" t="s">
        <v>434</v>
      </c>
      <c r="D57" s="54">
        <v>46162</v>
      </c>
      <c r="E57" s="85">
        <v>94.5</v>
      </c>
      <c r="F57" s="175"/>
      <c r="G57" s="114"/>
      <c r="H57" s="33"/>
    </row>
    <row r="58" spans="1:9" ht="15.75" customHeight="1" x14ac:dyDescent="0.25">
      <c r="A58" s="114"/>
      <c r="B58" s="114"/>
      <c r="C58" s="78" t="s">
        <v>434</v>
      </c>
      <c r="D58" s="54">
        <v>46161</v>
      </c>
      <c r="E58" s="85">
        <v>153.76</v>
      </c>
      <c r="F58" s="175"/>
      <c r="G58" s="114"/>
      <c r="H58" s="33"/>
    </row>
    <row r="59" spans="1:9" ht="15.75" customHeight="1" x14ac:dyDescent="0.25">
      <c r="A59" s="114"/>
      <c r="B59" s="114"/>
      <c r="C59" s="78" t="s">
        <v>601</v>
      </c>
      <c r="D59" s="54">
        <v>46171</v>
      </c>
      <c r="E59" s="85">
        <v>155</v>
      </c>
      <c r="F59" s="85"/>
      <c r="G59" s="114"/>
      <c r="H59" s="115"/>
      <c r="I59" s="163"/>
    </row>
    <row r="60" spans="1:9" ht="15.75" customHeight="1" x14ac:dyDescent="0.25">
      <c r="A60" s="114"/>
      <c r="B60" s="114"/>
      <c r="C60" s="78" t="s">
        <v>529</v>
      </c>
      <c r="D60" s="54">
        <v>46169</v>
      </c>
      <c r="E60" s="85">
        <v>674.31</v>
      </c>
      <c r="F60" s="175"/>
      <c r="G60" s="114"/>
      <c r="H60" s="171">
        <f>SUM(H2:H59)</f>
        <v>0</v>
      </c>
    </row>
    <row r="61" spans="1:9" ht="15.75" customHeight="1" x14ac:dyDescent="0.25">
      <c r="A61" s="8">
        <v>46136</v>
      </c>
      <c r="B61" s="4">
        <v>5796</v>
      </c>
      <c r="C61" s="4" t="s">
        <v>518</v>
      </c>
      <c r="D61" s="8">
        <v>46166</v>
      </c>
      <c r="E61" s="37">
        <v>331</v>
      </c>
      <c r="F61" s="27"/>
    </row>
    <row r="62" spans="1:9" ht="15.75" customHeight="1" x14ac:dyDescent="0.25">
      <c r="A62" s="8">
        <v>46141</v>
      </c>
      <c r="B62" s="4">
        <v>5838</v>
      </c>
      <c r="C62" s="4" t="s">
        <v>518</v>
      </c>
      <c r="D62" s="8">
        <v>46171</v>
      </c>
      <c r="E62" s="4">
        <v>28.9</v>
      </c>
    </row>
    <row r="63" spans="1:9" ht="15.75" customHeight="1" x14ac:dyDescent="0.25">
      <c r="A63" s="8">
        <v>46146</v>
      </c>
      <c r="B63" s="4">
        <v>5873</v>
      </c>
      <c r="C63" s="4" t="s">
        <v>518</v>
      </c>
      <c r="D63" s="8">
        <v>46176</v>
      </c>
      <c r="E63" s="4">
        <v>478.5</v>
      </c>
    </row>
    <row r="64" spans="1:9" ht="15.75" customHeight="1" x14ac:dyDescent="0.25">
      <c r="A64" s="8">
        <v>46160</v>
      </c>
      <c r="B64" s="4">
        <v>6097</v>
      </c>
      <c r="C64" s="4" t="s">
        <v>518</v>
      </c>
      <c r="D64" s="8">
        <v>46191</v>
      </c>
      <c r="E64" s="4">
        <v>159</v>
      </c>
    </row>
    <row r="65" spans="1:5" ht="15.75" customHeight="1" x14ac:dyDescent="0.25">
      <c r="A65" s="8">
        <v>46164</v>
      </c>
      <c r="B65" s="4">
        <v>6152</v>
      </c>
      <c r="C65" s="4" t="s">
        <v>518</v>
      </c>
      <c r="D65" s="8">
        <v>46194</v>
      </c>
      <c r="E65" s="4">
        <v>206.7</v>
      </c>
    </row>
    <row r="66" spans="1:5" ht="15.75" customHeight="1" x14ac:dyDescent="0.25">
      <c r="A66" s="8"/>
      <c r="B66" s="4"/>
      <c r="C66" s="4"/>
      <c r="D66" s="8"/>
      <c r="E66" s="4"/>
    </row>
    <row r="67" spans="1:5" ht="15.75" customHeight="1" x14ac:dyDescent="0.25"/>
    <row r="68" spans="1:5" ht="15.75" customHeight="1" x14ac:dyDescent="0.25"/>
    <row r="69" spans="1:5" ht="15.75" customHeight="1" x14ac:dyDescent="0.25"/>
    <row r="70" spans="1:5" ht="15.75" customHeight="1" x14ac:dyDescent="0.25"/>
    <row r="71" spans="1:5" ht="15.75" customHeight="1" x14ac:dyDescent="0.25"/>
    <row r="72" spans="1:5" ht="15.75" customHeight="1" x14ac:dyDescent="0.25"/>
    <row r="73" spans="1:5" ht="15.75" customHeight="1" x14ac:dyDescent="0.25"/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1073"/>
  <sheetViews>
    <sheetView tabSelected="1"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54">
        <v>46174</v>
      </c>
      <c r="B4" s="78">
        <v>41092</v>
      </c>
      <c r="C4" s="78" t="s">
        <v>516</v>
      </c>
      <c r="D4" s="54">
        <v>46204</v>
      </c>
      <c r="E4" s="85">
        <v>272</v>
      </c>
      <c r="F4" s="85"/>
      <c r="G4" s="114"/>
      <c r="H4" s="34"/>
    </row>
    <row r="5" spans="1:9" x14ac:dyDescent="0.25">
      <c r="A5" s="54">
        <v>46170</v>
      </c>
      <c r="B5" s="78">
        <v>4243</v>
      </c>
      <c r="C5" s="78" t="s">
        <v>600</v>
      </c>
      <c r="D5" s="54">
        <v>46205</v>
      </c>
      <c r="E5" s="85">
        <v>253</v>
      </c>
      <c r="F5" s="85"/>
      <c r="G5" s="114"/>
      <c r="H5" s="34"/>
    </row>
    <row r="6" spans="1:9" x14ac:dyDescent="0.25">
      <c r="A6" s="54">
        <v>46181</v>
      </c>
      <c r="B6" s="78">
        <v>6375</v>
      </c>
      <c r="C6" s="78" t="s">
        <v>518</v>
      </c>
      <c r="D6" s="54">
        <v>46211</v>
      </c>
      <c r="E6" s="85">
        <v>969.9</v>
      </c>
      <c r="F6" s="85"/>
      <c r="G6" s="114"/>
      <c r="H6" s="33"/>
    </row>
    <row r="7" spans="1:9" x14ac:dyDescent="0.25">
      <c r="A7" s="54">
        <v>46175</v>
      </c>
      <c r="B7" s="78">
        <v>6310</v>
      </c>
      <c r="C7" s="110" t="s">
        <v>518</v>
      </c>
      <c r="D7" s="54">
        <v>46205</v>
      </c>
      <c r="E7" s="85">
        <v>174.9</v>
      </c>
      <c r="F7" s="85"/>
      <c r="G7" s="114"/>
      <c r="H7" s="33"/>
    </row>
    <row r="8" spans="1:9" x14ac:dyDescent="0.25">
      <c r="A8" s="54">
        <v>46185</v>
      </c>
      <c r="B8" s="78">
        <v>6472</v>
      </c>
      <c r="C8" s="78" t="s">
        <v>518</v>
      </c>
      <c r="D8" s="54">
        <v>46215</v>
      </c>
      <c r="E8" s="85">
        <v>110.7</v>
      </c>
      <c r="F8" s="85"/>
      <c r="G8" s="114"/>
      <c r="H8" s="33"/>
    </row>
    <row r="9" spans="1:9" x14ac:dyDescent="0.25">
      <c r="A9" s="54">
        <v>46184</v>
      </c>
      <c r="B9" s="78">
        <v>6442</v>
      </c>
      <c r="C9" s="78" t="s">
        <v>518</v>
      </c>
      <c r="D9" s="54">
        <v>46214</v>
      </c>
      <c r="E9" s="85">
        <v>318.5</v>
      </c>
      <c r="F9" s="85"/>
      <c r="G9" s="114"/>
      <c r="H9" s="33"/>
    </row>
    <row r="10" spans="1:9" x14ac:dyDescent="0.25">
      <c r="A10" s="54">
        <v>46181</v>
      </c>
      <c r="B10" s="78">
        <v>6389</v>
      </c>
      <c r="C10" s="78" t="s">
        <v>518</v>
      </c>
      <c r="D10" s="54">
        <v>46211</v>
      </c>
      <c r="E10" s="85">
        <v>144.5</v>
      </c>
      <c r="F10" s="85"/>
      <c r="G10" s="114"/>
      <c r="H10" s="33"/>
    </row>
    <row r="11" spans="1:9" x14ac:dyDescent="0.25">
      <c r="A11" s="54">
        <v>46178</v>
      </c>
      <c r="B11" s="78">
        <v>6365</v>
      </c>
      <c r="C11" s="78" t="s">
        <v>518</v>
      </c>
      <c r="D11" s="157">
        <v>46208</v>
      </c>
      <c r="E11" s="85">
        <v>328.5</v>
      </c>
      <c r="F11" s="85"/>
      <c r="G11" s="114"/>
      <c r="H11" s="33"/>
    </row>
    <row r="12" spans="1:9" x14ac:dyDescent="0.25">
      <c r="A12" s="181">
        <v>46174</v>
      </c>
      <c r="B12" s="183">
        <v>47565</v>
      </c>
      <c r="C12" s="183" t="s">
        <v>525</v>
      </c>
      <c r="D12" s="184">
        <v>46204</v>
      </c>
      <c r="E12" s="186">
        <v>96</v>
      </c>
      <c r="F12" s="186"/>
      <c r="G12" s="114"/>
      <c r="H12" s="33"/>
    </row>
    <row r="13" spans="1:9" x14ac:dyDescent="0.25">
      <c r="A13" s="54">
        <v>46175</v>
      </c>
      <c r="B13" s="78">
        <v>47643</v>
      </c>
      <c r="C13" s="78" t="s">
        <v>525</v>
      </c>
      <c r="D13" s="54">
        <v>46205</v>
      </c>
      <c r="E13" s="85">
        <v>2808</v>
      </c>
      <c r="F13" s="85"/>
      <c r="G13" s="114"/>
      <c r="H13" s="33"/>
    </row>
    <row r="14" spans="1:9" x14ac:dyDescent="0.25">
      <c r="A14" s="54">
        <v>46175</v>
      </c>
      <c r="B14" s="78">
        <v>47675</v>
      </c>
      <c r="C14" s="78" t="s">
        <v>525</v>
      </c>
      <c r="D14" s="54">
        <v>46205</v>
      </c>
      <c r="E14" s="85">
        <v>108</v>
      </c>
      <c r="F14" s="85"/>
      <c r="G14" s="114"/>
      <c r="H14" s="33"/>
    </row>
    <row r="15" spans="1:9" x14ac:dyDescent="0.25">
      <c r="A15" s="54">
        <v>46176</v>
      </c>
      <c r="B15" s="78">
        <v>47813</v>
      </c>
      <c r="C15" s="78" t="s">
        <v>525</v>
      </c>
      <c r="D15" s="54">
        <v>46206</v>
      </c>
      <c r="E15" s="85">
        <v>54</v>
      </c>
      <c r="F15" s="85"/>
      <c r="G15" s="114"/>
      <c r="H15" s="33"/>
    </row>
    <row r="16" spans="1:9" x14ac:dyDescent="0.25">
      <c r="A16" s="54">
        <v>46176</v>
      </c>
      <c r="B16" s="78">
        <v>47808</v>
      </c>
      <c r="C16" s="78" t="s">
        <v>525</v>
      </c>
      <c r="D16" s="54">
        <v>46206</v>
      </c>
      <c r="E16" s="85">
        <v>54</v>
      </c>
      <c r="F16" s="85"/>
      <c r="G16" s="114"/>
      <c r="H16" s="33"/>
    </row>
    <row r="17" spans="1:9" ht="15.75" customHeight="1" x14ac:dyDescent="0.25">
      <c r="A17" s="54">
        <v>46178</v>
      </c>
      <c r="B17" s="78">
        <v>47861</v>
      </c>
      <c r="C17" s="110" t="s">
        <v>525</v>
      </c>
      <c r="D17" s="54">
        <v>46208</v>
      </c>
      <c r="E17" s="85">
        <v>56.8</v>
      </c>
      <c r="F17" s="85"/>
      <c r="G17" s="114"/>
      <c r="H17" s="33"/>
    </row>
    <row r="18" spans="1:9" ht="15.75" customHeight="1" x14ac:dyDescent="0.25">
      <c r="A18" s="54">
        <v>46178</v>
      </c>
      <c r="B18" s="78">
        <v>8506</v>
      </c>
      <c r="C18" s="78" t="s">
        <v>602</v>
      </c>
      <c r="D18" s="54">
        <v>46208</v>
      </c>
      <c r="E18" s="85">
        <v>2052</v>
      </c>
      <c r="F18" s="85"/>
      <c r="G18" s="114"/>
      <c r="H18" s="33"/>
    </row>
    <row r="19" spans="1:9" ht="15.75" customHeight="1" x14ac:dyDescent="0.25">
      <c r="A19" s="54">
        <v>46178</v>
      </c>
      <c r="B19" s="78">
        <v>47880</v>
      </c>
      <c r="C19" s="78" t="s">
        <v>525</v>
      </c>
      <c r="D19" s="54">
        <v>46208</v>
      </c>
      <c r="E19" s="85">
        <v>56</v>
      </c>
      <c r="F19" s="85"/>
      <c r="G19" s="114"/>
      <c r="H19" s="33"/>
    </row>
    <row r="20" spans="1:9" ht="15.75" customHeight="1" x14ac:dyDescent="0.25">
      <c r="A20" s="54">
        <v>46181</v>
      </c>
      <c r="B20" s="78">
        <v>48057</v>
      </c>
      <c r="C20" s="78" t="s">
        <v>525</v>
      </c>
      <c r="D20" s="157">
        <v>46211</v>
      </c>
      <c r="E20" s="85">
        <v>199</v>
      </c>
      <c r="F20" s="85"/>
      <c r="G20" s="114"/>
      <c r="H20" s="33"/>
      <c r="I20" s="4"/>
    </row>
    <row r="21" spans="1:9" ht="15.75" customHeight="1" x14ac:dyDescent="0.25">
      <c r="A21" s="54">
        <v>46182</v>
      </c>
      <c r="B21" s="78">
        <v>8517</v>
      </c>
      <c r="C21" s="78" t="s">
        <v>602</v>
      </c>
      <c r="D21" s="157">
        <v>46212</v>
      </c>
      <c r="E21" s="85">
        <v>2160</v>
      </c>
      <c r="F21" s="85"/>
      <c r="G21" s="114"/>
      <c r="H21" s="33"/>
    </row>
    <row r="22" spans="1:9" ht="15.75" customHeight="1" x14ac:dyDescent="0.25">
      <c r="A22" s="54">
        <v>46185</v>
      </c>
      <c r="B22" s="78">
        <v>48490</v>
      </c>
      <c r="C22" s="78" t="s">
        <v>525</v>
      </c>
      <c r="D22" s="157">
        <v>46215</v>
      </c>
      <c r="E22" s="85">
        <v>116.9</v>
      </c>
      <c r="F22" s="85"/>
      <c r="G22" s="114"/>
      <c r="H22" s="33"/>
    </row>
    <row r="23" spans="1:9" ht="15.75" customHeight="1" x14ac:dyDescent="0.25">
      <c r="A23" s="54">
        <v>46176</v>
      </c>
      <c r="B23" s="78">
        <v>213465</v>
      </c>
      <c r="C23" s="78" t="s">
        <v>603</v>
      </c>
      <c r="D23" s="157">
        <v>46206</v>
      </c>
      <c r="E23" s="85">
        <v>187</v>
      </c>
      <c r="F23" s="85"/>
      <c r="G23" s="114"/>
      <c r="H23" s="33"/>
    </row>
    <row r="24" spans="1:9" ht="15.75" customHeight="1" x14ac:dyDescent="0.25">
      <c r="A24" s="54">
        <v>46183</v>
      </c>
      <c r="B24" s="78">
        <v>213569</v>
      </c>
      <c r="C24" s="78" t="s">
        <v>603</v>
      </c>
      <c r="D24" s="54">
        <v>46213</v>
      </c>
      <c r="E24" s="85">
        <v>286</v>
      </c>
      <c r="F24" s="85"/>
      <c r="G24" s="114"/>
      <c r="H24" s="33"/>
    </row>
    <row r="25" spans="1:9" ht="15.75" customHeight="1" x14ac:dyDescent="0.25">
      <c r="A25" s="54">
        <v>46184</v>
      </c>
      <c r="B25" s="78">
        <v>213574</v>
      </c>
      <c r="C25" s="78" t="s">
        <v>603</v>
      </c>
      <c r="D25" s="54">
        <v>46214</v>
      </c>
      <c r="E25" s="85">
        <v>130</v>
      </c>
      <c r="F25" s="85"/>
      <c r="G25" s="114"/>
      <c r="H25" s="33"/>
    </row>
    <row r="26" spans="1:9" ht="15.75" customHeight="1" x14ac:dyDescent="0.25">
      <c r="A26" s="54">
        <v>46185</v>
      </c>
      <c r="B26" s="78">
        <v>213611</v>
      </c>
      <c r="C26" s="78" t="s">
        <v>603</v>
      </c>
      <c r="D26" s="54">
        <v>46215</v>
      </c>
      <c r="E26" s="85">
        <v>289.89999999999998</v>
      </c>
      <c r="F26" s="85"/>
      <c r="G26" s="114"/>
      <c r="H26" s="33"/>
    </row>
    <row r="27" spans="1:9" ht="15.75" customHeight="1" x14ac:dyDescent="0.25">
      <c r="A27" s="54">
        <v>46175</v>
      </c>
      <c r="B27" s="78">
        <v>31289</v>
      </c>
      <c r="C27" s="78" t="s">
        <v>523</v>
      </c>
      <c r="D27" s="54">
        <v>46205</v>
      </c>
      <c r="E27" s="85">
        <v>291.05</v>
      </c>
      <c r="F27" s="85"/>
      <c r="G27" s="114"/>
      <c r="H27" s="33"/>
    </row>
    <row r="28" spans="1:9" ht="15.75" customHeight="1" x14ac:dyDescent="0.25">
      <c r="A28" s="54">
        <v>46176</v>
      </c>
      <c r="B28" s="78">
        <v>31363</v>
      </c>
      <c r="C28" s="78" t="s">
        <v>523</v>
      </c>
      <c r="D28" s="54">
        <v>46206</v>
      </c>
      <c r="E28" s="85">
        <v>23.8</v>
      </c>
      <c r="F28" s="85"/>
      <c r="G28" s="114"/>
      <c r="H28" s="33"/>
    </row>
    <row r="29" spans="1:9" ht="15.75" customHeight="1" x14ac:dyDescent="0.25">
      <c r="A29" s="54">
        <v>46185</v>
      </c>
      <c r="B29" s="78">
        <v>31766</v>
      </c>
      <c r="C29" s="78" t="s">
        <v>523</v>
      </c>
      <c r="D29" s="54">
        <v>46215</v>
      </c>
      <c r="E29" s="85">
        <v>110.95</v>
      </c>
      <c r="F29" s="85"/>
      <c r="G29" s="114"/>
      <c r="H29" s="33"/>
    </row>
    <row r="30" spans="1:9" ht="15.75" customHeight="1" x14ac:dyDescent="0.25">
      <c r="A30" s="54">
        <v>46176</v>
      </c>
      <c r="B30" s="78">
        <v>4262</v>
      </c>
      <c r="C30" s="78" t="s">
        <v>600</v>
      </c>
      <c r="D30" s="54">
        <v>46211</v>
      </c>
      <c r="E30" s="85">
        <v>253</v>
      </c>
      <c r="F30" s="85"/>
      <c r="G30" s="114"/>
      <c r="H30" s="33"/>
    </row>
    <row r="31" spans="1:9" ht="15.75" customHeight="1" x14ac:dyDescent="0.25">
      <c r="A31" s="54">
        <v>46181</v>
      </c>
      <c r="B31" s="78">
        <v>50008</v>
      </c>
      <c r="C31" s="78" t="s">
        <v>499</v>
      </c>
      <c r="D31" s="54">
        <v>46211</v>
      </c>
      <c r="E31" s="85">
        <v>710</v>
      </c>
      <c r="F31" s="85"/>
      <c r="G31" s="114"/>
      <c r="H31" s="33"/>
    </row>
    <row r="32" spans="1:9" ht="15.75" customHeight="1" x14ac:dyDescent="0.25">
      <c r="A32" s="54">
        <v>46185</v>
      </c>
      <c r="B32" s="78">
        <v>50125</v>
      </c>
      <c r="C32" s="78" t="s">
        <v>499</v>
      </c>
      <c r="D32" s="54">
        <v>46215</v>
      </c>
      <c r="E32" s="85">
        <v>1060</v>
      </c>
      <c r="F32" s="85"/>
      <c r="G32" s="114"/>
      <c r="H32" s="33"/>
    </row>
    <row r="33" spans="1:8" ht="15.75" customHeight="1" x14ac:dyDescent="0.25">
      <c r="A33" s="54">
        <v>46182</v>
      </c>
      <c r="B33" s="78">
        <v>19967</v>
      </c>
      <c r="C33" s="78" t="s">
        <v>604</v>
      </c>
      <c r="D33" s="54">
        <v>46212</v>
      </c>
      <c r="E33" s="85">
        <v>174.9</v>
      </c>
      <c r="F33" s="85"/>
      <c r="G33" s="114"/>
      <c r="H33" s="33"/>
    </row>
    <row r="34" spans="1:8" ht="15.75" customHeight="1" x14ac:dyDescent="0.25">
      <c r="A34" s="54">
        <v>46181</v>
      </c>
      <c r="B34" s="78">
        <v>22488</v>
      </c>
      <c r="C34" s="78" t="s">
        <v>579</v>
      </c>
      <c r="D34" s="54">
        <v>46211</v>
      </c>
      <c r="E34" s="85">
        <v>109.8</v>
      </c>
      <c r="F34" s="85"/>
      <c r="G34" s="114"/>
      <c r="H34" s="33"/>
    </row>
    <row r="35" spans="1:8" ht="15.75" customHeight="1" x14ac:dyDescent="0.25">
      <c r="A35" s="54">
        <v>46185</v>
      </c>
      <c r="B35" s="78">
        <v>22551</v>
      </c>
      <c r="C35" s="78" t="s">
        <v>579</v>
      </c>
      <c r="D35" s="54">
        <v>46215</v>
      </c>
      <c r="E35" s="85">
        <v>35.08</v>
      </c>
      <c r="F35" s="85"/>
      <c r="G35" s="114"/>
      <c r="H35" s="33"/>
    </row>
    <row r="36" spans="1:8" ht="15.75" customHeight="1" x14ac:dyDescent="0.25">
      <c r="A36" s="54">
        <v>46182</v>
      </c>
      <c r="B36" s="78">
        <v>41174</v>
      </c>
      <c r="C36" s="78" t="s">
        <v>516</v>
      </c>
      <c r="D36" s="54">
        <v>46212</v>
      </c>
      <c r="E36" s="85">
        <v>170</v>
      </c>
      <c r="F36" s="85"/>
      <c r="G36" s="114"/>
      <c r="H36" s="33"/>
    </row>
    <row r="37" spans="1:8" ht="15.75" customHeight="1" x14ac:dyDescent="0.25">
      <c r="A37" s="54">
        <v>46185</v>
      </c>
      <c r="B37" s="78">
        <v>36980</v>
      </c>
      <c r="C37" s="78" t="s">
        <v>119</v>
      </c>
      <c r="D37" s="54">
        <v>46215</v>
      </c>
      <c r="E37" s="85">
        <v>127.2</v>
      </c>
      <c r="F37" s="85"/>
      <c r="G37" s="114"/>
      <c r="H37" s="33"/>
    </row>
    <row r="38" spans="1:8" ht="15.75" customHeight="1" x14ac:dyDescent="0.25">
      <c r="A38" s="54">
        <v>46181</v>
      </c>
      <c r="B38" s="78">
        <v>27797</v>
      </c>
      <c r="C38" s="78" t="s">
        <v>193</v>
      </c>
      <c r="D38" s="54">
        <v>46211</v>
      </c>
      <c r="E38" s="85">
        <v>252</v>
      </c>
      <c r="F38" s="85"/>
      <c r="G38" s="114"/>
      <c r="H38" s="33"/>
    </row>
    <row r="39" spans="1:8" ht="15.75" customHeight="1" x14ac:dyDescent="0.25">
      <c r="A39" s="54">
        <v>46216</v>
      </c>
      <c r="B39" s="114"/>
      <c r="C39" s="78" t="s">
        <v>398</v>
      </c>
      <c r="D39" s="54">
        <v>46216</v>
      </c>
      <c r="E39" s="85">
        <v>113.38</v>
      </c>
      <c r="F39" s="85"/>
      <c r="G39" s="114"/>
      <c r="H39" s="33"/>
    </row>
    <row r="40" spans="1:8" ht="15.75" customHeight="1" x14ac:dyDescent="0.25">
      <c r="A40" s="187">
        <v>46184</v>
      </c>
      <c r="B40" s="78">
        <v>4305</v>
      </c>
      <c r="C40" s="78" t="s">
        <v>600</v>
      </c>
      <c r="D40" s="187">
        <v>46219</v>
      </c>
      <c r="E40" s="85">
        <v>253</v>
      </c>
      <c r="F40" s="85"/>
      <c r="G40" s="114"/>
      <c r="H40" s="33"/>
    </row>
    <row r="41" spans="1:8" ht="15.75" customHeight="1" x14ac:dyDescent="0.25">
      <c r="A41" s="187">
        <v>46190</v>
      </c>
      <c r="B41" s="78">
        <v>1234</v>
      </c>
      <c r="C41" s="78" t="s">
        <v>607</v>
      </c>
      <c r="D41" s="187">
        <v>46220</v>
      </c>
      <c r="E41" s="85">
        <v>512</v>
      </c>
      <c r="F41" s="85"/>
      <c r="G41" s="114"/>
      <c r="H41" s="33"/>
    </row>
    <row r="42" spans="1:8" ht="15.75" customHeight="1" x14ac:dyDescent="0.25">
      <c r="A42" s="54">
        <v>46190</v>
      </c>
      <c r="B42" s="78">
        <v>27887</v>
      </c>
      <c r="C42" s="78" t="s">
        <v>193</v>
      </c>
      <c r="D42" s="187">
        <v>46220</v>
      </c>
      <c r="E42" s="85">
        <v>332</v>
      </c>
      <c r="F42" s="85"/>
      <c r="G42" s="114"/>
      <c r="H42" s="33"/>
    </row>
    <row r="43" spans="1:8" ht="15.75" customHeight="1" x14ac:dyDescent="0.25">
      <c r="A43" s="54">
        <v>46196</v>
      </c>
      <c r="B43" s="78">
        <v>22538</v>
      </c>
      <c r="C43" s="78" t="s">
        <v>608</v>
      </c>
      <c r="D43" s="54">
        <v>46226</v>
      </c>
      <c r="E43" s="85">
        <v>694.95</v>
      </c>
      <c r="F43" s="85"/>
      <c r="G43" s="114"/>
      <c r="H43" s="33"/>
    </row>
    <row r="44" spans="1:8" ht="15.75" customHeight="1" x14ac:dyDescent="0.25">
      <c r="A44" s="54">
        <v>46185</v>
      </c>
      <c r="B44" s="78">
        <v>294</v>
      </c>
      <c r="C44" s="78" t="s">
        <v>475</v>
      </c>
      <c r="D44" s="187">
        <v>46215</v>
      </c>
      <c r="E44" s="85">
        <v>355</v>
      </c>
      <c r="F44" s="85"/>
      <c r="G44" s="114"/>
      <c r="H44" s="33"/>
    </row>
    <row r="45" spans="1:8" ht="15.75" customHeight="1" x14ac:dyDescent="0.25">
      <c r="A45" s="54">
        <v>46176</v>
      </c>
      <c r="B45" s="78">
        <v>332</v>
      </c>
      <c r="C45" s="78" t="s">
        <v>609</v>
      </c>
      <c r="D45" s="187">
        <v>46226</v>
      </c>
      <c r="E45" s="85">
        <v>170</v>
      </c>
      <c r="F45" s="85"/>
      <c r="G45" s="114"/>
      <c r="H45" s="33"/>
    </row>
    <row r="46" spans="1:8" ht="15.75" customHeight="1" x14ac:dyDescent="0.25">
      <c r="A46" s="54">
        <v>46188</v>
      </c>
      <c r="B46" s="78">
        <v>213652</v>
      </c>
      <c r="C46" s="78" t="s">
        <v>603</v>
      </c>
      <c r="D46" s="54">
        <v>46218</v>
      </c>
      <c r="E46" s="85">
        <v>624</v>
      </c>
      <c r="F46" s="85"/>
      <c r="G46" s="114"/>
      <c r="H46" s="33"/>
    </row>
    <row r="47" spans="1:8" ht="15.75" customHeight="1" x14ac:dyDescent="0.25">
      <c r="A47" s="54">
        <v>46189</v>
      </c>
      <c r="B47" s="78">
        <v>213671</v>
      </c>
      <c r="C47" s="78" t="s">
        <v>603</v>
      </c>
      <c r="D47" s="54">
        <v>46219</v>
      </c>
      <c r="E47" s="85">
        <v>903.84</v>
      </c>
      <c r="F47" s="85"/>
      <c r="G47" s="114"/>
      <c r="H47" s="33"/>
    </row>
    <row r="48" spans="1:8" ht="15.75" customHeight="1" x14ac:dyDescent="0.25">
      <c r="A48" s="54">
        <v>46192</v>
      </c>
      <c r="B48" s="78">
        <v>213746</v>
      </c>
      <c r="C48" s="78" t="s">
        <v>603</v>
      </c>
      <c r="D48" s="54">
        <v>46222</v>
      </c>
      <c r="E48" s="85">
        <v>308.62</v>
      </c>
      <c r="F48" s="85"/>
      <c r="G48" s="114"/>
      <c r="H48" s="33"/>
    </row>
    <row r="49" spans="1:9" ht="15.75" customHeight="1" x14ac:dyDescent="0.25">
      <c r="A49" s="54">
        <v>46196</v>
      </c>
      <c r="B49" s="78">
        <v>213793</v>
      </c>
      <c r="C49" s="78" t="s">
        <v>603</v>
      </c>
      <c r="D49" s="54">
        <v>46226</v>
      </c>
      <c r="E49" s="85">
        <v>387</v>
      </c>
      <c r="F49" s="85"/>
      <c r="G49" s="114"/>
      <c r="H49" s="33"/>
    </row>
    <row r="50" spans="1:9" ht="15.75" customHeight="1" x14ac:dyDescent="0.25">
      <c r="A50" s="54">
        <v>46185</v>
      </c>
      <c r="B50" s="78">
        <v>41229</v>
      </c>
      <c r="C50" s="78" t="s">
        <v>516</v>
      </c>
      <c r="D50" s="187">
        <v>46215</v>
      </c>
      <c r="E50" s="85">
        <v>30</v>
      </c>
      <c r="F50" s="85"/>
      <c r="G50" s="114"/>
      <c r="H50" s="33"/>
    </row>
    <row r="51" spans="1:9" ht="15.75" customHeight="1" x14ac:dyDescent="0.25">
      <c r="A51" s="54">
        <v>46189</v>
      </c>
      <c r="B51" s="78">
        <v>41257</v>
      </c>
      <c r="C51" s="78" t="s">
        <v>516</v>
      </c>
      <c r="D51" s="54">
        <v>46219</v>
      </c>
      <c r="E51" s="85">
        <v>57</v>
      </c>
      <c r="F51" s="85"/>
      <c r="G51" s="114"/>
      <c r="H51" s="33"/>
    </row>
    <row r="52" spans="1:9" ht="15.75" customHeight="1" x14ac:dyDescent="0.25">
      <c r="A52" s="78" t="s">
        <v>611</v>
      </c>
      <c r="B52" s="78">
        <v>41372</v>
      </c>
      <c r="C52" s="110" t="s">
        <v>516</v>
      </c>
      <c r="D52" s="54">
        <v>46229</v>
      </c>
      <c r="E52" s="85">
        <v>399.3</v>
      </c>
      <c r="F52" s="85"/>
      <c r="G52" s="114"/>
      <c r="H52" s="33"/>
    </row>
    <row r="53" spans="1:9" ht="15.75" customHeight="1" x14ac:dyDescent="0.25">
      <c r="A53" s="54">
        <v>46213</v>
      </c>
      <c r="B53" s="78">
        <v>6431</v>
      </c>
      <c r="C53" s="78" t="s">
        <v>467</v>
      </c>
      <c r="D53" s="54">
        <v>46213</v>
      </c>
      <c r="E53" s="85">
        <v>1908</v>
      </c>
      <c r="F53" s="85"/>
      <c r="G53" s="114"/>
      <c r="H53" s="33"/>
    </row>
    <row r="54" spans="1:9" ht="15.75" customHeight="1" x14ac:dyDescent="0.25">
      <c r="A54" s="54">
        <v>46190</v>
      </c>
      <c r="B54" s="78">
        <v>6540</v>
      </c>
      <c r="C54" s="78" t="s">
        <v>467</v>
      </c>
      <c r="D54" s="54">
        <v>46220</v>
      </c>
      <c r="E54" s="85">
        <v>524.79999999999995</v>
      </c>
      <c r="F54" s="85"/>
      <c r="G54" s="114"/>
      <c r="H54" s="33"/>
    </row>
    <row r="55" spans="1:9" ht="15.75" customHeight="1" x14ac:dyDescent="0.25">
      <c r="A55" s="54">
        <v>46195</v>
      </c>
      <c r="B55" s="78">
        <v>6593</v>
      </c>
      <c r="C55" s="78" t="s">
        <v>467</v>
      </c>
      <c r="D55" s="54">
        <v>46225</v>
      </c>
      <c r="E55" s="85">
        <v>665</v>
      </c>
      <c r="F55" s="85"/>
      <c r="G55" s="114"/>
      <c r="H55" s="33"/>
    </row>
    <row r="56" spans="1:9" ht="15.75" customHeight="1" x14ac:dyDescent="0.25">
      <c r="A56" s="54">
        <v>46188</v>
      </c>
      <c r="B56" s="78">
        <v>48640</v>
      </c>
      <c r="C56" s="78" t="s">
        <v>425</v>
      </c>
      <c r="D56" s="54">
        <v>46218</v>
      </c>
      <c r="E56" s="85">
        <v>28.4</v>
      </c>
      <c r="F56" s="85"/>
      <c r="G56" s="114"/>
      <c r="H56" s="33"/>
    </row>
    <row r="57" spans="1:9" ht="15.75" customHeight="1" x14ac:dyDescent="0.25">
      <c r="A57" s="54">
        <v>46188</v>
      </c>
      <c r="B57" s="78">
        <v>48584</v>
      </c>
      <c r="C57" s="78" t="s">
        <v>425</v>
      </c>
      <c r="D57" s="54">
        <v>46218</v>
      </c>
      <c r="E57" s="85">
        <v>2160</v>
      </c>
      <c r="F57" s="85"/>
      <c r="G57" s="114"/>
      <c r="H57" s="33"/>
    </row>
    <row r="58" spans="1:9" ht="15.75" customHeight="1" x14ac:dyDescent="0.25">
      <c r="A58" s="54">
        <v>46220</v>
      </c>
      <c r="B58" s="78">
        <v>48830</v>
      </c>
      <c r="C58" s="78" t="s">
        <v>425</v>
      </c>
      <c r="D58" s="54">
        <v>46220</v>
      </c>
      <c r="E58" s="85">
        <v>150</v>
      </c>
      <c r="F58" s="85"/>
      <c r="G58" s="114"/>
      <c r="H58" s="33"/>
    </row>
    <row r="59" spans="1:9" ht="15.75" customHeight="1" x14ac:dyDescent="0.25">
      <c r="A59" s="54">
        <v>46196</v>
      </c>
      <c r="B59" s="78">
        <v>49189</v>
      </c>
      <c r="C59" s="78" t="s">
        <v>425</v>
      </c>
      <c r="D59" s="54">
        <v>46226</v>
      </c>
      <c r="E59" s="85">
        <v>520</v>
      </c>
      <c r="F59" s="85"/>
      <c r="G59" s="114"/>
      <c r="H59" s="115"/>
      <c r="I59" s="163"/>
    </row>
    <row r="60" spans="1:9" ht="15.75" customHeight="1" x14ac:dyDescent="0.25">
      <c r="A60" s="54">
        <v>46196</v>
      </c>
      <c r="B60" s="78">
        <v>8580</v>
      </c>
      <c r="C60" s="78" t="s">
        <v>425</v>
      </c>
      <c r="D60" s="54">
        <v>46226</v>
      </c>
      <c r="E60" s="85">
        <v>2160</v>
      </c>
      <c r="F60" s="85"/>
      <c r="G60" s="114"/>
      <c r="H60" s="171">
        <f>SUM(H2:H59)</f>
        <v>0</v>
      </c>
    </row>
    <row r="61" spans="1:9" ht="15.75" customHeight="1" x14ac:dyDescent="0.25">
      <c r="A61" s="8">
        <v>46196</v>
      </c>
      <c r="B61" s="4">
        <v>49194</v>
      </c>
      <c r="C61" s="4" t="s">
        <v>425</v>
      </c>
      <c r="D61" s="8">
        <v>46226</v>
      </c>
      <c r="E61" s="5">
        <v>56.8</v>
      </c>
      <c r="F61" s="5"/>
    </row>
    <row r="62" spans="1:9" ht="15.75" customHeight="1" x14ac:dyDescent="0.25">
      <c r="A62" s="8">
        <v>46227</v>
      </c>
      <c r="B62" s="4">
        <v>49324</v>
      </c>
      <c r="C62" s="4" t="s">
        <v>425</v>
      </c>
      <c r="D62" s="8">
        <v>46227</v>
      </c>
      <c r="E62" s="4">
        <v>40</v>
      </c>
      <c r="F62" s="4"/>
    </row>
    <row r="63" spans="1:9" ht="15.75" customHeight="1" x14ac:dyDescent="0.25">
      <c r="A63" s="8">
        <v>46198</v>
      </c>
      <c r="B63" s="4">
        <v>8593</v>
      </c>
      <c r="C63" s="4" t="s">
        <v>425</v>
      </c>
      <c r="D63" s="8">
        <v>46228</v>
      </c>
      <c r="F63" s="4">
        <v>2970</v>
      </c>
    </row>
    <row r="64" spans="1:9" ht="15.75" customHeight="1" x14ac:dyDescent="0.25">
      <c r="A64" s="8">
        <v>46202</v>
      </c>
      <c r="B64" s="4">
        <v>49511</v>
      </c>
      <c r="C64" s="4" t="s">
        <v>425</v>
      </c>
      <c r="D64" s="8">
        <v>46232</v>
      </c>
      <c r="E64" s="4">
        <v>540</v>
      </c>
      <c r="F64" s="4"/>
    </row>
    <row r="65" spans="1:5" ht="15.75" customHeight="1" x14ac:dyDescent="0.25">
      <c r="A65" s="8">
        <v>46216</v>
      </c>
      <c r="C65" s="4" t="s">
        <v>616</v>
      </c>
      <c r="D65" s="4" t="s">
        <v>617</v>
      </c>
      <c r="E65" s="4">
        <v>149</v>
      </c>
    </row>
    <row r="66" spans="1:5" ht="15.75" customHeight="1" x14ac:dyDescent="0.25">
      <c r="C66" s="4" t="s">
        <v>398</v>
      </c>
      <c r="D66" s="8">
        <v>46216</v>
      </c>
      <c r="E66" s="4">
        <v>113.38</v>
      </c>
    </row>
    <row r="67" spans="1:5" ht="15.75" customHeight="1" x14ac:dyDescent="0.25">
      <c r="C67" s="4" t="s">
        <v>476</v>
      </c>
      <c r="D67" s="8">
        <v>46216</v>
      </c>
      <c r="E67" s="4">
        <v>19.2</v>
      </c>
    </row>
    <row r="68" spans="1:5" ht="15.75" customHeight="1" x14ac:dyDescent="0.25">
      <c r="C68" s="4" t="s">
        <v>523</v>
      </c>
      <c r="D68" s="8">
        <v>46219</v>
      </c>
      <c r="E68" s="4">
        <v>99.5</v>
      </c>
    </row>
    <row r="69" spans="1:5" ht="15.75" customHeight="1" x14ac:dyDescent="0.25">
      <c r="C69" s="4" t="s">
        <v>495</v>
      </c>
      <c r="D69" s="8">
        <v>46220</v>
      </c>
      <c r="E69" s="4">
        <v>1030</v>
      </c>
    </row>
    <row r="70" spans="1:5" ht="15.75" customHeight="1" x14ac:dyDescent="0.25">
      <c r="C70" s="4" t="s">
        <v>619</v>
      </c>
      <c r="D70" s="8">
        <v>46224</v>
      </c>
      <c r="E70" s="4">
        <v>40</v>
      </c>
    </row>
    <row r="71" spans="1:5" ht="15.75" customHeight="1" x14ac:dyDescent="0.25">
      <c r="B71" s="4" t="s">
        <v>620</v>
      </c>
      <c r="C71" s="4" t="s">
        <v>93</v>
      </c>
      <c r="D71" s="8">
        <v>46223</v>
      </c>
      <c r="E71" s="4">
        <v>1890.74</v>
      </c>
    </row>
    <row r="72" spans="1:5" ht="15.75" customHeight="1" x14ac:dyDescent="0.25">
      <c r="B72" s="4" t="s">
        <v>622</v>
      </c>
      <c r="C72" s="4" t="s">
        <v>93</v>
      </c>
      <c r="D72" s="8">
        <v>46223</v>
      </c>
      <c r="E72" s="4">
        <v>231</v>
      </c>
    </row>
    <row r="73" spans="1:5" ht="15.75" customHeight="1" x14ac:dyDescent="0.25">
      <c r="B73" s="4" t="s">
        <v>622</v>
      </c>
      <c r="C73" s="4" t="s">
        <v>624</v>
      </c>
      <c r="D73" s="8">
        <v>46223</v>
      </c>
      <c r="E73" s="4">
        <v>597.41</v>
      </c>
    </row>
    <row r="74" spans="1:5" ht="15.75" customHeight="1" x14ac:dyDescent="0.25">
      <c r="B74" s="4" t="s">
        <v>551</v>
      </c>
      <c r="C74" s="4" t="s">
        <v>624</v>
      </c>
      <c r="D74" s="8">
        <v>46223</v>
      </c>
      <c r="E74" s="4">
        <v>292.26</v>
      </c>
    </row>
    <row r="75" spans="1:5" ht="15.75" customHeight="1" x14ac:dyDescent="0.25">
      <c r="B75" s="4" t="s">
        <v>620</v>
      </c>
      <c r="C75" s="4" t="s">
        <v>624</v>
      </c>
      <c r="D75" s="8">
        <v>46223</v>
      </c>
      <c r="E75" s="4">
        <v>2876.17</v>
      </c>
    </row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605</v>
      </c>
      <c r="I1" s="5" t="s">
        <v>606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54">
        <v>46204</v>
      </c>
      <c r="B4" s="78">
        <v>41398</v>
      </c>
      <c r="C4" s="78" t="s">
        <v>516</v>
      </c>
      <c r="D4" s="54">
        <v>46235</v>
      </c>
      <c r="E4" s="85">
        <v>289</v>
      </c>
      <c r="F4" s="85"/>
      <c r="G4" s="114"/>
      <c r="H4" s="34"/>
    </row>
    <row r="5" spans="1:9" x14ac:dyDescent="0.25">
      <c r="A5" s="54">
        <v>46186</v>
      </c>
      <c r="B5" s="78"/>
      <c r="C5" s="78" t="s">
        <v>163</v>
      </c>
      <c r="D5" s="54">
        <v>46247</v>
      </c>
      <c r="E5" s="85">
        <v>129.94</v>
      </c>
      <c r="F5" s="85"/>
      <c r="G5" s="114"/>
      <c r="H5" s="34"/>
    </row>
    <row r="6" spans="1:9" x14ac:dyDescent="0.25">
      <c r="A6" s="54">
        <v>46211</v>
      </c>
      <c r="B6" s="78">
        <v>32999</v>
      </c>
      <c r="C6" s="78" t="s">
        <v>434</v>
      </c>
      <c r="D6" s="54">
        <v>46242</v>
      </c>
      <c r="E6" s="85">
        <v>139.6</v>
      </c>
      <c r="F6" s="85"/>
      <c r="G6" s="114"/>
      <c r="H6" s="33"/>
    </row>
    <row r="7" spans="1:9" x14ac:dyDescent="0.25">
      <c r="A7" s="54">
        <v>46206</v>
      </c>
      <c r="B7" s="78">
        <v>50630</v>
      </c>
      <c r="C7" s="110" t="s">
        <v>499</v>
      </c>
      <c r="D7" s="54">
        <v>46237</v>
      </c>
      <c r="E7" s="85">
        <v>1000</v>
      </c>
      <c r="F7" s="85"/>
      <c r="G7" s="114"/>
      <c r="H7" s="33"/>
    </row>
    <row r="8" spans="1:9" x14ac:dyDescent="0.25">
      <c r="A8" s="54">
        <v>46205</v>
      </c>
      <c r="B8" s="78">
        <v>28006</v>
      </c>
      <c r="C8" s="78" t="s">
        <v>610</v>
      </c>
      <c r="D8" s="54">
        <v>46236</v>
      </c>
      <c r="E8" s="85">
        <v>1000</v>
      </c>
      <c r="F8" s="85"/>
      <c r="G8" s="114"/>
      <c r="H8" s="33"/>
    </row>
    <row r="9" spans="1:9" x14ac:dyDescent="0.25">
      <c r="A9" s="54">
        <v>46205</v>
      </c>
      <c r="B9" s="78">
        <v>21416</v>
      </c>
      <c r="C9" s="78" t="s">
        <v>604</v>
      </c>
      <c r="D9" s="54">
        <v>46236</v>
      </c>
      <c r="E9" s="85">
        <v>402.64</v>
      </c>
      <c r="F9" s="85"/>
      <c r="G9" s="114"/>
      <c r="H9" s="33"/>
    </row>
    <row r="10" spans="1:9" x14ac:dyDescent="0.25">
      <c r="A10" s="54">
        <v>46209</v>
      </c>
      <c r="B10" s="78">
        <v>68583</v>
      </c>
      <c r="C10" s="78" t="s">
        <v>125</v>
      </c>
      <c r="D10" s="54">
        <v>46240</v>
      </c>
      <c r="E10" s="85">
        <v>9.65</v>
      </c>
      <c r="F10" s="85"/>
      <c r="G10" s="114"/>
      <c r="H10" s="33"/>
    </row>
    <row r="11" spans="1:9" x14ac:dyDescent="0.25">
      <c r="A11" s="54">
        <v>46244</v>
      </c>
      <c r="B11" s="139"/>
      <c r="C11" s="78" t="s">
        <v>612</v>
      </c>
      <c r="D11" s="157">
        <v>46244</v>
      </c>
      <c r="E11" s="85">
        <v>1041.51</v>
      </c>
      <c r="F11" s="85"/>
      <c r="G11" s="114"/>
      <c r="H11" s="33"/>
    </row>
    <row r="12" spans="1:9" x14ac:dyDescent="0.25">
      <c r="A12" s="181">
        <v>46234</v>
      </c>
      <c r="B12" s="183">
        <v>7129</v>
      </c>
      <c r="C12" s="183" t="s">
        <v>518</v>
      </c>
      <c r="D12" s="184">
        <v>46247</v>
      </c>
      <c r="E12" s="186">
        <v>28.9</v>
      </c>
      <c r="F12" s="186"/>
      <c r="G12" s="114"/>
      <c r="H12" s="33"/>
    </row>
    <row r="13" spans="1:9" x14ac:dyDescent="0.25">
      <c r="A13" s="54">
        <v>46239</v>
      </c>
      <c r="B13" s="78">
        <v>51103</v>
      </c>
      <c r="C13" s="78" t="s">
        <v>557</v>
      </c>
      <c r="D13" s="54">
        <v>46239</v>
      </c>
      <c r="E13" s="85">
        <v>110</v>
      </c>
      <c r="F13" s="85"/>
      <c r="G13" s="114"/>
      <c r="H13" s="33"/>
    </row>
    <row r="14" spans="1:9" x14ac:dyDescent="0.25">
      <c r="A14" s="54">
        <v>46217</v>
      </c>
      <c r="B14" s="78">
        <v>50827</v>
      </c>
      <c r="C14" s="78" t="s">
        <v>557</v>
      </c>
      <c r="D14" s="54">
        <v>46248</v>
      </c>
      <c r="E14" s="85">
        <v>110</v>
      </c>
      <c r="F14" s="85"/>
      <c r="G14" s="114"/>
      <c r="H14" s="33"/>
    </row>
    <row r="15" spans="1:9" x14ac:dyDescent="0.25">
      <c r="A15" s="54">
        <v>46232</v>
      </c>
      <c r="B15" s="78">
        <v>50936</v>
      </c>
      <c r="C15" s="78" t="s">
        <v>557</v>
      </c>
      <c r="D15" s="54">
        <v>46263</v>
      </c>
      <c r="E15" s="85">
        <v>400</v>
      </c>
      <c r="F15" s="85"/>
      <c r="G15" s="114"/>
      <c r="H15" s="33"/>
    </row>
    <row r="16" spans="1:9" x14ac:dyDescent="0.25">
      <c r="A16" s="54">
        <v>46213</v>
      </c>
      <c r="B16" s="78">
        <v>50277</v>
      </c>
      <c r="C16" s="78" t="s">
        <v>525</v>
      </c>
      <c r="D16" s="54">
        <v>46244</v>
      </c>
      <c r="E16" s="85">
        <v>560</v>
      </c>
      <c r="F16" s="85"/>
      <c r="G16" s="114"/>
      <c r="H16" s="33"/>
    </row>
    <row r="17" spans="1:9" ht="15.75" customHeight="1" x14ac:dyDescent="0.25">
      <c r="A17" s="54">
        <v>46226</v>
      </c>
      <c r="B17" s="78">
        <v>51072</v>
      </c>
      <c r="C17" s="110" t="s">
        <v>525</v>
      </c>
      <c r="D17" s="54">
        <v>46257</v>
      </c>
      <c r="E17" s="85"/>
      <c r="F17" s="85">
        <v>560</v>
      </c>
      <c r="G17" s="114"/>
      <c r="H17" s="33"/>
    </row>
    <row r="18" spans="1:9" ht="15.75" customHeight="1" x14ac:dyDescent="0.25">
      <c r="A18" s="54">
        <v>46230</v>
      </c>
      <c r="B18" s="78">
        <v>51286</v>
      </c>
      <c r="C18" s="78" t="s">
        <v>525</v>
      </c>
      <c r="D18" s="54">
        <v>46261</v>
      </c>
      <c r="E18" s="85">
        <v>8</v>
      </c>
      <c r="F18" s="85"/>
      <c r="G18" s="114"/>
      <c r="H18" s="33"/>
    </row>
    <row r="19" spans="1:9" ht="15.75" customHeight="1" x14ac:dyDescent="0.25">
      <c r="A19" s="54">
        <v>46235</v>
      </c>
      <c r="B19" s="88"/>
      <c r="C19" s="78" t="s">
        <v>613</v>
      </c>
      <c r="D19" s="157">
        <v>46235</v>
      </c>
      <c r="E19" s="85">
        <v>248.2</v>
      </c>
      <c r="F19" s="85"/>
      <c r="G19" s="114"/>
      <c r="H19" s="33"/>
    </row>
    <row r="20" spans="1:9" ht="15.75" customHeight="1" x14ac:dyDescent="0.25">
      <c r="A20" s="54">
        <v>46234</v>
      </c>
      <c r="B20" s="78">
        <v>33951</v>
      </c>
      <c r="C20" s="78" t="s">
        <v>434</v>
      </c>
      <c r="D20" s="157">
        <v>46265</v>
      </c>
      <c r="E20" s="85">
        <v>131.69999999999999</v>
      </c>
      <c r="F20" s="85"/>
      <c r="G20" s="114"/>
      <c r="H20" s="33"/>
      <c r="I20" s="4"/>
    </row>
    <row r="21" spans="1:9" ht="15.75" customHeight="1" x14ac:dyDescent="0.25">
      <c r="A21" s="54">
        <v>46227</v>
      </c>
      <c r="B21" s="78">
        <v>33629</v>
      </c>
      <c r="C21" s="78" t="s">
        <v>434</v>
      </c>
      <c r="D21" s="157">
        <v>46258</v>
      </c>
      <c r="E21" s="85">
        <v>318</v>
      </c>
      <c r="F21" s="85"/>
      <c r="G21" s="114"/>
      <c r="H21" s="33"/>
    </row>
    <row r="22" spans="1:9" ht="15.75" customHeight="1" x14ac:dyDescent="0.25">
      <c r="A22" s="54">
        <v>46226</v>
      </c>
      <c r="B22" s="78">
        <v>33607</v>
      </c>
      <c r="C22" s="78" t="s">
        <v>434</v>
      </c>
      <c r="D22" s="157">
        <v>46235</v>
      </c>
      <c r="E22" s="85">
        <v>14.45</v>
      </c>
      <c r="F22" s="85"/>
      <c r="G22" s="114"/>
      <c r="H22" s="33"/>
    </row>
    <row r="23" spans="1:9" ht="15.75" customHeight="1" x14ac:dyDescent="0.25">
      <c r="A23" s="54">
        <v>46224</v>
      </c>
      <c r="B23" s="78">
        <v>33448</v>
      </c>
      <c r="C23" s="78" t="s">
        <v>434</v>
      </c>
      <c r="D23" s="157">
        <v>46235</v>
      </c>
      <c r="E23" s="85">
        <v>69.8</v>
      </c>
      <c r="F23" s="85"/>
      <c r="G23" s="114"/>
      <c r="H23" s="33"/>
    </row>
    <row r="24" spans="1:9" ht="15.75" customHeight="1" x14ac:dyDescent="0.25">
      <c r="A24" s="54">
        <v>46204</v>
      </c>
      <c r="B24" s="78">
        <v>6714</v>
      </c>
      <c r="C24" s="78" t="s">
        <v>518</v>
      </c>
      <c r="D24" s="54">
        <v>46235</v>
      </c>
      <c r="E24" s="85">
        <v>173.4</v>
      </c>
      <c r="F24" s="85"/>
      <c r="G24" s="114"/>
      <c r="H24" s="33"/>
    </row>
    <row r="25" spans="1:9" ht="15.75" customHeight="1" x14ac:dyDescent="0.25">
      <c r="A25" s="54">
        <v>46220</v>
      </c>
      <c r="B25" s="78">
        <v>6952</v>
      </c>
      <c r="C25" s="78" t="s">
        <v>518</v>
      </c>
      <c r="D25" s="54">
        <v>46250</v>
      </c>
      <c r="E25" s="85">
        <v>149.1</v>
      </c>
      <c r="F25" s="85"/>
      <c r="G25" s="114"/>
      <c r="H25" s="33"/>
    </row>
    <row r="26" spans="1:9" ht="15.75" customHeight="1" x14ac:dyDescent="0.25">
      <c r="A26" s="54">
        <v>46218</v>
      </c>
      <c r="B26" s="78">
        <v>68660</v>
      </c>
      <c r="C26" s="78" t="s">
        <v>614</v>
      </c>
      <c r="D26" s="54">
        <v>46235</v>
      </c>
      <c r="E26" s="85">
        <v>3.47</v>
      </c>
      <c r="F26" s="175"/>
      <c r="G26" s="114"/>
      <c r="H26" s="33"/>
    </row>
    <row r="27" spans="1:9" ht="15.75" customHeight="1" x14ac:dyDescent="0.25">
      <c r="A27" s="54">
        <v>46216</v>
      </c>
      <c r="B27" s="78">
        <v>68632</v>
      </c>
      <c r="C27" s="78" t="s">
        <v>615</v>
      </c>
      <c r="D27" s="54">
        <v>46235</v>
      </c>
      <c r="E27" s="85">
        <v>19.11</v>
      </c>
      <c r="F27" s="175"/>
      <c r="G27" s="114"/>
      <c r="H27" s="33"/>
    </row>
    <row r="28" spans="1:9" ht="15.75" customHeight="1" x14ac:dyDescent="0.25">
      <c r="A28" s="54">
        <v>46224</v>
      </c>
      <c r="B28" s="78">
        <v>68712</v>
      </c>
      <c r="C28" s="78" t="s">
        <v>615</v>
      </c>
      <c r="D28" s="54">
        <v>46235</v>
      </c>
      <c r="E28" s="85">
        <v>3.47</v>
      </c>
      <c r="F28" s="175"/>
      <c r="G28" s="114"/>
      <c r="H28" s="33"/>
    </row>
    <row r="29" spans="1:9" ht="15.75" customHeight="1" x14ac:dyDescent="0.25">
      <c r="A29" s="54">
        <v>46232</v>
      </c>
      <c r="B29" s="78">
        <v>68779</v>
      </c>
      <c r="C29" s="78" t="s">
        <v>615</v>
      </c>
      <c r="D29" s="54">
        <v>46235</v>
      </c>
      <c r="E29" s="85">
        <v>4.46</v>
      </c>
      <c r="F29" s="175"/>
      <c r="G29" s="114"/>
      <c r="H29" s="33"/>
    </row>
    <row r="30" spans="1:9" ht="15.75" customHeight="1" x14ac:dyDescent="0.25">
      <c r="A30" s="54">
        <v>46217</v>
      </c>
      <c r="B30" s="78">
        <v>21380</v>
      </c>
      <c r="C30" s="78" t="s">
        <v>581</v>
      </c>
      <c r="D30" s="54">
        <v>46248</v>
      </c>
      <c r="E30" s="85">
        <v>64</v>
      </c>
      <c r="F30" s="85"/>
      <c r="G30" s="114"/>
      <c r="H30" s="33"/>
    </row>
    <row r="31" spans="1:9" ht="15.75" customHeight="1" x14ac:dyDescent="0.25">
      <c r="A31" s="54">
        <v>46219</v>
      </c>
      <c r="B31" s="78">
        <v>21505</v>
      </c>
      <c r="C31" s="78" t="s">
        <v>581</v>
      </c>
      <c r="D31" s="54">
        <v>46250</v>
      </c>
      <c r="E31" s="85">
        <v>189.44</v>
      </c>
      <c r="F31" s="85"/>
      <c r="G31" s="114"/>
      <c r="H31" s="33"/>
    </row>
    <row r="32" spans="1:9" ht="15.75" customHeight="1" x14ac:dyDescent="0.25">
      <c r="A32" s="54">
        <v>46219</v>
      </c>
      <c r="B32" s="78">
        <v>3084</v>
      </c>
      <c r="C32" s="78" t="s">
        <v>618</v>
      </c>
      <c r="D32" s="54">
        <v>46250</v>
      </c>
      <c r="E32" s="85">
        <v>768</v>
      </c>
      <c r="F32" s="85"/>
      <c r="G32" s="114"/>
      <c r="H32" s="33"/>
    </row>
    <row r="33" spans="1:8" ht="15.75" customHeight="1" x14ac:dyDescent="0.25">
      <c r="A33" s="54">
        <v>46220</v>
      </c>
      <c r="B33" s="78">
        <v>3092</v>
      </c>
      <c r="C33" s="78" t="s">
        <v>618</v>
      </c>
      <c r="D33" s="54">
        <v>46251</v>
      </c>
      <c r="E33" s="85">
        <v>1393</v>
      </c>
      <c r="F33" s="85"/>
      <c r="G33" s="114"/>
      <c r="H33" s="33"/>
    </row>
    <row r="34" spans="1:8" ht="15.75" customHeight="1" x14ac:dyDescent="0.25">
      <c r="A34" s="54">
        <v>46223</v>
      </c>
      <c r="B34" s="78">
        <v>3093</v>
      </c>
      <c r="C34" s="78" t="s">
        <v>618</v>
      </c>
      <c r="D34" s="54">
        <v>46254</v>
      </c>
      <c r="E34" s="85">
        <v>768</v>
      </c>
      <c r="F34" s="85"/>
      <c r="G34" s="114"/>
      <c r="H34" s="33"/>
    </row>
    <row r="35" spans="1:8" ht="15.75" customHeight="1" x14ac:dyDescent="0.25">
      <c r="A35" s="54">
        <v>46217</v>
      </c>
      <c r="B35" s="78">
        <v>22752</v>
      </c>
      <c r="C35" s="78" t="s">
        <v>621</v>
      </c>
      <c r="D35" s="54">
        <v>46248</v>
      </c>
      <c r="E35" s="85">
        <v>91.5</v>
      </c>
      <c r="F35" s="85"/>
      <c r="G35" s="114"/>
      <c r="H35" s="33"/>
    </row>
    <row r="36" spans="1:8" ht="15.75" customHeight="1" x14ac:dyDescent="0.25">
      <c r="A36" s="54">
        <v>46218</v>
      </c>
      <c r="B36" s="78">
        <v>28124</v>
      </c>
      <c r="C36" s="78" t="s">
        <v>462</v>
      </c>
      <c r="D36" s="54">
        <v>46249</v>
      </c>
      <c r="E36" s="85">
        <v>276</v>
      </c>
      <c r="F36" s="85"/>
      <c r="G36" s="114"/>
      <c r="H36" s="33"/>
    </row>
    <row r="37" spans="1:8" ht="15.75" customHeight="1" x14ac:dyDescent="0.25">
      <c r="A37" s="114"/>
      <c r="B37" s="114"/>
      <c r="C37" s="78" t="s">
        <v>623</v>
      </c>
      <c r="D37" s="54">
        <v>46235</v>
      </c>
      <c r="E37" s="85">
        <v>64.12</v>
      </c>
      <c r="F37" s="175"/>
      <c r="G37" s="114"/>
      <c r="H37" s="33"/>
    </row>
    <row r="38" spans="1:8" ht="15.75" customHeight="1" x14ac:dyDescent="0.25">
      <c r="A38" s="114"/>
      <c r="B38" s="114"/>
      <c r="C38" s="78" t="s">
        <v>595</v>
      </c>
      <c r="D38" s="54">
        <v>46235</v>
      </c>
      <c r="E38" s="85">
        <v>32</v>
      </c>
      <c r="F38" s="175"/>
      <c r="G38" s="114"/>
      <c r="H38" s="33"/>
    </row>
    <row r="39" spans="1:8" ht="15.75" customHeight="1" x14ac:dyDescent="0.25">
      <c r="A39" s="114"/>
      <c r="B39" s="114"/>
      <c r="C39" s="114"/>
      <c r="D39" s="114"/>
      <c r="E39" s="175"/>
      <c r="F39" s="175"/>
      <c r="G39" s="114"/>
      <c r="H39" s="33"/>
    </row>
    <row r="40" spans="1:8" ht="15.75" customHeight="1" x14ac:dyDescent="0.25">
      <c r="A40" s="114"/>
      <c r="B40" s="114"/>
      <c r="C40" s="114"/>
      <c r="D40" s="114"/>
      <c r="E40" s="175"/>
      <c r="F40" s="175"/>
      <c r="G40" s="114"/>
      <c r="H40" s="33"/>
    </row>
    <row r="41" spans="1:8" ht="15.75" customHeight="1" x14ac:dyDescent="0.25">
      <c r="A41" s="114"/>
      <c r="B41" s="114"/>
      <c r="C41" s="114"/>
      <c r="D41" s="114"/>
      <c r="E41" s="175"/>
      <c r="F41" s="175"/>
      <c r="G41" s="114"/>
      <c r="H41" s="33"/>
    </row>
    <row r="42" spans="1:8" ht="15.75" customHeight="1" x14ac:dyDescent="0.25">
      <c r="A42" s="114"/>
      <c r="B42" s="114"/>
      <c r="C42" s="114"/>
      <c r="D42" s="114"/>
      <c r="E42" s="175"/>
      <c r="F42" s="175"/>
      <c r="G42" s="114"/>
      <c r="H42" s="33"/>
    </row>
    <row r="43" spans="1:8" ht="15.75" customHeight="1" x14ac:dyDescent="0.25">
      <c r="A43" s="114"/>
      <c r="B43" s="114"/>
      <c r="C43" s="114"/>
      <c r="D43" s="114"/>
      <c r="E43" s="175"/>
      <c r="F43" s="175"/>
      <c r="G43" s="114"/>
      <c r="H43" s="33"/>
    </row>
    <row r="44" spans="1:8" ht="15.75" customHeight="1" x14ac:dyDescent="0.25">
      <c r="A44" s="114"/>
      <c r="B44" s="114"/>
      <c r="C44" s="114"/>
      <c r="D44" s="114"/>
      <c r="E44" s="175"/>
      <c r="F44" s="175"/>
      <c r="G44" s="114"/>
      <c r="H44" s="33"/>
    </row>
    <row r="45" spans="1:8" ht="15.75" customHeight="1" x14ac:dyDescent="0.25">
      <c r="A45" s="114"/>
      <c r="B45" s="114"/>
      <c r="C45" s="114"/>
      <c r="D45" s="114"/>
      <c r="E45" s="175"/>
      <c r="F45" s="175"/>
      <c r="G45" s="114"/>
      <c r="H45" s="33"/>
    </row>
    <row r="46" spans="1:8" ht="15.75" customHeight="1" x14ac:dyDescent="0.25">
      <c r="A46" s="114"/>
      <c r="B46" s="114"/>
      <c r="C46" s="114"/>
      <c r="D46" s="114"/>
      <c r="E46" s="175"/>
      <c r="F46" s="175"/>
      <c r="G46" s="114"/>
      <c r="H46" s="33"/>
    </row>
    <row r="47" spans="1:8" ht="15.75" customHeight="1" x14ac:dyDescent="0.25">
      <c r="A47" s="114"/>
      <c r="B47" s="114"/>
      <c r="C47" s="114"/>
      <c r="D47" s="114"/>
      <c r="E47" s="175"/>
      <c r="F47" s="175"/>
      <c r="G47" s="114"/>
      <c r="H47" s="33"/>
    </row>
    <row r="48" spans="1:8" ht="15.75" customHeight="1" x14ac:dyDescent="0.25">
      <c r="A48" s="114"/>
      <c r="B48" s="114"/>
      <c r="C48" s="114"/>
      <c r="D48" s="114"/>
      <c r="E48" s="175"/>
      <c r="F48" s="175"/>
      <c r="G48" s="114"/>
      <c r="H48" s="33"/>
    </row>
    <row r="49" spans="1:9" ht="15.75" customHeight="1" x14ac:dyDescent="0.25">
      <c r="A49" s="114"/>
      <c r="B49" s="114"/>
      <c r="C49" s="114"/>
      <c r="D49" s="114"/>
      <c r="E49" s="175"/>
      <c r="F49" s="175"/>
      <c r="G49" s="114"/>
      <c r="H49" s="33"/>
    </row>
    <row r="50" spans="1:9" ht="15.75" customHeight="1" x14ac:dyDescent="0.25">
      <c r="A50" s="114"/>
      <c r="B50" s="114"/>
      <c r="C50" s="114"/>
      <c r="D50" s="114"/>
      <c r="E50" s="175"/>
      <c r="F50" s="175"/>
      <c r="G50" s="114"/>
      <c r="H50" s="33"/>
    </row>
    <row r="51" spans="1:9" ht="15.75" customHeight="1" x14ac:dyDescent="0.25">
      <c r="A51" s="114"/>
      <c r="B51" s="114"/>
      <c r="C51" s="114"/>
      <c r="D51" s="114"/>
      <c r="E51" s="175"/>
      <c r="F51" s="175"/>
      <c r="G51" s="114"/>
      <c r="H51" s="33"/>
    </row>
    <row r="52" spans="1:9" ht="15.75" customHeight="1" x14ac:dyDescent="0.25">
      <c r="A52" s="54"/>
      <c r="B52" s="116"/>
      <c r="C52" s="110"/>
      <c r="D52" s="54"/>
      <c r="E52" s="175"/>
      <c r="F52" s="85"/>
      <c r="G52" s="114"/>
      <c r="H52" s="33"/>
    </row>
    <row r="53" spans="1:9" ht="15.75" customHeight="1" x14ac:dyDescent="0.25">
      <c r="A53" s="114"/>
      <c r="B53" s="114"/>
      <c r="C53" s="114"/>
      <c r="D53" s="114"/>
      <c r="E53" s="175"/>
      <c r="F53" s="175"/>
      <c r="G53" s="114"/>
      <c r="H53" s="33"/>
    </row>
    <row r="54" spans="1:9" ht="15.75" customHeight="1" x14ac:dyDescent="0.25">
      <c r="A54" s="114"/>
      <c r="B54" s="114"/>
      <c r="C54" s="114"/>
      <c r="D54" s="114"/>
      <c r="E54" s="175"/>
      <c r="F54" s="175"/>
      <c r="G54" s="114"/>
      <c r="H54" s="33"/>
    </row>
    <row r="55" spans="1:9" ht="15.75" customHeight="1" x14ac:dyDescent="0.25">
      <c r="A55" s="114"/>
      <c r="B55" s="114"/>
      <c r="C55" s="114"/>
      <c r="D55" s="114"/>
      <c r="E55" s="175"/>
      <c r="F55" s="175"/>
      <c r="G55" s="114"/>
      <c r="H55" s="33"/>
    </row>
    <row r="56" spans="1:9" ht="15.75" customHeight="1" x14ac:dyDescent="0.25">
      <c r="A56" s="114"/>
      <c r="B56" s="114"/>
      <c r="C56" s="114"/>
      <c r="D56" s="114"/>
      <c r="E56" s="175"/>
      <c r="F56" s="175"/>
      <c r="G56" s="114"/>
      <c r="H56" s="33"/>
    </row>
    <row r="57" spans="1:9" ht="15.75" customHeight="1" x14ac:dyDescent="0.25">
      <c r="A57" s="114"/>
      <c r="B57" s="114"/>
      <c r="C57" s="114"/>
      <c r="D57" s="114"/>
      <c r="E57" s="175"/>
      <c r="F57" s="175"/>
      <c r="G57" s="114"/>
      <c r="H57" s="33"/>
    </row>
    <row r="58" spans="1:9" ht="15.75" customHeight="1" x14ac:dyDescent="0.25">
      <c r="A58" s="114"/>
      <c r="B58" s="114"/>
      <c r="C58" s="114"/>
      <c r="D58" s="114"/>
      <c r="E58" s="175"/>
      <c r="F58" s="175"/>
      <c r="G58" s="114"/>
      <c r="H58" s="33"/>
    </row>
    <row r="59" spans="1:9" ht="15.75" customHeight="1" x14ac:dyDescent="0.25">
      <c r="A59" s="114"/>
      <c r="B59" s="114"/>
      <c r="C59" s="78"/>
      <c r="D59" s="54"/>
      <c r="E59" s="175"/>
      <c r="F59" s="85"/>
      <c r="G59" s="114"/>
      <c r="H59" s="115"/>
      <c r="I59" s="163"/>
    </row>
    <row r="60" spans="1:9" ht="15.75" customHeight="1" x14ac:dyDescent="0.25">
      <c r="A60" s="114"/>
      <c r="B60" s="114"/>
      <c r="C60" s="114"/>
      <c r="D60" s="114"/>
      <c r="E60" s="175"/>
      <c r="F60" s="175"/>
      <c r="G60" s="114"/>
      <c r="H60" s="171">
        <f>SUM(H2:H59)</f>
        <v>0</v>
      </c>
    </row>
    <row r="61" spans="1:9" ht="15.75" customHeight="1" x14ac:dyDescent="0.25">
      <c r="E61" s="133">
        <f t="shared" ref="E61:F61" si="0">SUM(E2:E60)</f>
        <v>10010.460000000001</v>
      </c>
      <c r="F61" s="133">
        <f t="shared" si="0"/>
        <v>560</v>
      </c>
    </row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78" t="s">
        <v>625</v>
      </c>
      <c r="B4" s="78">
        <v>41913</v>
      </c>
      <c r="C4" s="78" t="s">
        <v>587</v>
      </c>
      <c r="D4" s="54">
        <v>46290</v>
      </c>
      <c r="E4" s="85"/>
      <c r="F4" s="85">
        <v>102</v>
      </c>
      <c r="G4" s="114"/>
      <c r="H4" s="34"/>
    </row>
    <row r="5" spans="1:9" x14ac:dyDescent="0.25">
      <c r="A5" s="54">
        <v>46260</v>
      </c>
      <c r="B5" s="78">
        <v>21868</v>
      </c>
      <c r="C5" s="78" t="s">
        <v>581</v>
      </c>
      <c r="D5" s="54">
        <v>46291</v>
      </c>
      <c r="E5" s="85"/>
      <c r="F5" s="85">
        <v>101.12</v>
      </c>
      <c r="G5" s="114"/>
      <c r="H5" s="34"/>
    </row>
    <row r="6" spans="1:9" x14ac:dyDescent="0.25">
      <c r="A6" s="54">
        <v>46262</v>
      </c>
      <c r="B6" s="78"/>
      <c r="C6" s="78" t="s">
        <v>581</v>
      </c>
      <c r="D6" s="54">
        <v>46293</v>
      </c>
      <c r="E6" s="85"/>
      <c r="F6" s="85">
        <v>176</v>
      </c>
      <c r="G6" s="114"/>
      <c r="H6" s="33"/>
    </row>
    <row r="7" spans="1:9" x14ac:dyDescent="0.25">
      <c r="A7" s="54">
        <v>46260</v>
      </c>
      <c r="B7" s="78">
        <v>28693</v>
      </c>
      <c r="C7" s="110" t="s">
        <v>626</v>
      </c>
      <c r="D7" s="54">
        <v>46291</v>
      </c>
      <c r="E7" s="85"/>
      <c r="F7" s="85">
        <v>152.1</v>
      </c>
      <c r="G7" s="114"/>
      <c r="H7" s="33"/>
    </row>
    <row r="8" spans="1:9" x14ac:dyDescent="0.25">
      <c r="A8" s="54">
        <v>46255</v>
      </c>
      <c r="B8" s="78">
        <v>28620</v>
      </c>
      <c r="C8" s="78" t="s">
        <v>626</v>
      </c>
      <c r="D8" s="54">
        <v>46286</v>
      </c>
      <c r="E8" s="85"/>
      <c r="F8" s="85">
        <v>257.60000000000002</v>
      </c>
      <c r="G8" s="114"/>
      <c r="H8" s="33"/>
    </row>
    <row r="9" spans="1:9" x14ac:dyDescent="0.25">
      <c r="A9" s="54">
        <v>46253</v>
      </c>
      <c r="B9" s="78">
        <v>28550</v>
      </c>
      <c r="C9" s="78" t="s">
        <v>626</v>
      </c>
      <c r="D9" s="54">
        <v>46284</v>
      </c>
      <c r="E9" s="85"/>
      <c r="F9" s="85">
        <v>347.2</v>
      </c>
      <c r="G9" s="114"/>
      <c r="H9" s="33"/>
    </row>
    <row r="10" spans="1:9" x14ac:dyDescent="0.25">
      <c r="A10" s="54">
        <v>46241</v>
      </c>
      <c r="B10" s="78">
        <v>214740</v>
      </c>
      <c r="C10" s="78" t="s">
        <v>603</v>
      </c>
      <c r="D10" s="54">
        <v>46272</v>
      </c>
      <c r="E10" s="85"/>
      <c r="F10" s="85">
        <v>37.200000000000003</v>
      </c>
      <c r="G10" s="114"/>
      <c r="H10" s="33"/>
    </row>
    <row r="11" spans="1:9" x14ac:dyDescent="0.25">
      <c r="A11" s="54">
        <v>46252</v>
      </c>
      <c r="B11" s="78">
        <v>214964</v>
      </c>
      <c r="C11" s="78" t="s">
        <v>603</v>
      </c>
      <c r="D11" s="157">
        <v>46283</v>
      </c>
      <c r="E11" s="85"/>
      <c r="F11" s="85">
        <v>100</v>
      </c>
      <c r="G11" s="114"/>
      <c r="H11" s="33"/>
    </row>
    <row r="12" spans="1:9" x14ac:dyDescent="0.25">
      <c r="A12" s="181">
        <v>46262</v>
      </c>
      <c r="B12" s="183">
        <v>215263</v>
      </c>
      <c r="C12" s="183" t="s">
        <v>603</v>
      </c>
      <c r="D12" s="184">
        <v>46293</v>
      </c>
      <c r="E12" s="185"/>
      <c r="F12" s="186">
        <v>61.07</v>
      </c>
      <c r="G12" s="114"/>
      <c r="H12" s="33"/>
    </row>
    <row r="13" spans="1:9" x14ac:dyDescent="0.25">
      <c r="A13" s="54">
        <v>46262</v>
      </c>
      <c r="B13" s="78">
        <v>215251</v>
      </c>
      <c r="C13" s="78" t="s">
        <v>603</v>
      </c>
      <c r="D13" s="54">
        <v>46293</v>
      </c>
      <c r="E13" s="85"/>
      <c r="F13" s="85">
        <v>26</v>
      </c>
      <c r="G13" s="114"/>
      <c r="H13" s="33"/>
    </row>
    <row r="14" spans="1:9" x14ac:dyDescent="0.25">
      <c r="A14" s="54">
        <v>46248</v>
      </c>
      <c r="B14" s="78">
        <v>3203</v>
      </c>
      <c r="C14" s="78" t="s">
        <v>627</v>
      </c>
      <c r="D14" s="54">
        <v>46279</v>
      </c>
      <c r="E14" s="85"/>
      <c r="F14" s="85">
        <v>1152</v>
      </c>
      <c r="G14" s="114"/>
      <c r="H14" s="33"/>
    </row>
    <row r="15" spans="1:9" x14ac:dyDescent="0.25">
      <c r="A15" s="54">
        <v>46262</v>
      </c>
      <c r="B15" s="78">
        <v>3244</v>
      </c>
      <c r="C15" s="78" t="s">
        <v>627</v>
      </c>
      <c r="D15" s="54">
        <v>46293</v>
      </c>
      <c r="E15" s="85"/>
      <c r="F15" s="85">
        <v>585.6</v>
      </c>
      <c r="G15" s="114"/>
      <c r="H15" s="33"/>
    </row>
    <row r="16" spans="1:9" x14ac:dyDescent="0.25">
      <c r="A16" s="54">
        <v>46245</v>
      </c>
      <c r="B16" s="78">
        <v>51488</v>
      </c>
      <c r="C16" s="78" t="s">
        <v>499</v>
      </c>
      <c r="D16" s="54">
        <v>46276</v>
      </c>
      <c r="E16" s="85"/>
      <c r="F16" s="85">
        <v>110</v>
      </c>
      <c r="G16" s="114"/>
      <c r="H16" s="33"/>
    </row>
    <row r="17" spans="1:9" ht="15.75" customHeight="1" x14ac:dyDescent="0.25">
      <c r="A17" s="54">
        <v>46259</v>
      </c>
      <c r="B17" s="78">
        <v>51791</v>
      </c>
      <c r="C17" s="110" t="s">
        <v>499</v>
      </c>
      <c r="D17" s="54">
        <v>46290</v>
      </c>
      <c r="E17" s="85"/>
      <c r="F17" s="85">
        <v>360</v>
      </c>
      <c r="G17" s="114"/>
      <c r="H17" s="33"/>
    </row>
    <row r="18" spans="1:9" ht="15.75" customHeight="1" x14ac:dyDescent="0.25">
      <c r="A18" s="54">
        <v>46268</v>
      </c>
      <c r="B18" s="78">
        <v>7394</v>
      </c>
      <c r="C18" s="78" t="s">
        <v>467</v>
      </c>
      <c r="D18" s="54">
        <v>46268</v>
      </c>
      <c r="E18" s="85"/>
      <c r="F18" s="85">
        <v>57.8</v>
      </c>
      <c r="G18" s="114"/>
      <c r="H18" s="33"/>
    </row>
    <row r="19" spans="1:9" ht="15.75" customHeight="1" x14ac:dyDescent="0.25">
      <c r="A19" s="54">
        <v>46252</v>
      </c>
      <c r="B19" s="78">
        <v>7343</v>
      </c>
      <c r="C19" s="78" t="s">
        <v>467</v>
      </c>
      <c r="D19" s="157">
        <v>46282</v>
      </c>
      <c r="E19" s="85"/>
      <c r="F19" s="85">
        <v>2049.8000000000002</v>
      </c>
      <c r="G19" s="114"/>
      <c r="H19" s="33"/>
    </row>
    <row r="20" spans="1:9" ht="15.75" customHeight="1" x14ac:dyDescent="0.25">
      <c r="A20" s="54">
        <v>46282</v>
      </c>
      <c r="B20" s="78">
        <v>568</v>
      </c>
      <c r="C20" s="78" t="s">
        <v>158</v>
      </c>
      <c r="D20" s="157">
        <v>46282</v>
      </c>
      <c r="E20" s="85">
        <v>99.75</v>
      </c>
      <c r="F20" s="85"/>
      <c r="G20" s="114"/>
      <c r="H20" s="33"/>
      <c r="I20" s="4"/>
    </row>
    <row r="21" spans="1:9" ht="15.75" customHeight="1" x14ac:dyDescent="0.25">
      <c r="A21" s="188">
        <v>46285</v>
      </c>
      <c r="B21" s="114"/>
      <c r="C21" s="78" t="s">
        <v>178</v>
      </c>
      <c r="D21" s="188">
        <v>46285</v>
      </c>
      <c r="E21" s="85">
        <v>720</v>
      </c>
      <c r="F21" s="85"/>
      <c r="G21" s="114"/>
      <c r="H21" s="33"/>
    </row>
    <row r="22" spans="1:9" ht="15.75" customHeight="1" x14ac:dyDescent="0.25">
      <c r="A22" s="54">
        <v>46283</v>
      </c>
      <c r="B22" s="114"/>
      <c r="C22" s="78" t="s">
        <v>628</v>
      </c>
      <c r="D22" s="188">
        <v>46283</v>
      </c>
      <c r="E22" s="85">
        <v>1804.19</v>
      </c>
      <c r="F22" s="175"/>
      <c r="G22" s="114"/>
      <c r="H22" s="33"/>
    </row>
    <row r="23" spans="1:9" ht="15.75" customHeight="1" x14ac:dyDescent="0.25">
      <c r="A23" s="54">
        <v>46283</v>
      </c>
      <c r="B23" s="114"/>
      <c r="C23" s="78" t="s">
        <v>630</v>
      </c>
      <c r="D23" s="188">
        <v>46283</v>
      </c>
      <c r="E23" s="85">
        <v>825.53</v>
      </c>
      <c r="F23" s="175"/>
      <c r="G23" s="114"/>
      <c r="H23" s="33"/>
    </row>
    <row r="24" spans="1:9" ht="15.75" customHeight="1" x14ac:dyDescent="0.25">
      <c r="G24" s="114"/>
      <c r="H24" s="33"/>
    </row>
    <row r="25" spans="1:9" ht="15.75" customHeight="1" x14ac:dyDescent="0.25">
      <c r="G25" s="114"/>
      <c r="H25" s="33"/>
    </row>
    <row r="26" spans="1:9" ht="15.75" customHeight="1" x14ac:dyDescent="0.25">
      <c r="G26" s="114"/>
      <c r="H26" s="33"/>
    </row>
    <row r="27" spans="1:9" ht="15.75" customHeight="1" x14ac:dyDescent="0.25">
      <c r="G27" s="114"/>
      <c r="H27" s="33"/>
    </row>
    <row r="28" spans="1:9" ht="15.75" customHeight="1" x14ac:dyDescent="0.25">
      <c r="G28" s="114"/>
      <c r="H28" s="33"/>
    </row>
    <row r="29" spans="1:9" ht="15.75" customHeight="1" x14ac:dyDescent="0.25">
      <c r="G29" s="114"/>
      <c r="H29" s="33"/>
    </row>
    <row r="30" spans="1:9" ht="15.75" customHeight="1" x14ac:dyDescent="0.25">
      <c r="G30" s="114"/>
      <c r="H30" s="33"/>
    </row>
    <row r="31" spans="1:9" ht="15.75" customHeight="1" x14ac:dyDescent="0.25">
      <c r="G31" s="114"/>
      <c r="H31" s="33"/>
    </row>
    <row r="32" spans="1:9" ht="15.75" customHeight="1" x14ac:dyDescent="0.25">
      <c r="G32" s="114"/>
      <c r="H32" s="33"/>
    </row>
    <row r="33" spans="1:8" ht="15.75" customHeight="1" x14ac:dyDescent="0.25">
      <c r="G33" s="114"/>
      <c r="H33" s="33"/>
    </row>
    <row r="34" spans="1:8" ht="15.75" customHeight="1" x14ac:dyDescent="0.25">
      <c r="G34" s="114"/>
      <c r="H34" s="33"/>
    </row>
    <row r="35" spans="1:8" ht="15.75" customHeight="1" x14ac:dyDescent="0.25">
      <c r="A35" s="114"/>
      <c r="B35" s="114"/>
      <c r="C35" s="114"/>
      <c r="D35" s="114"/>
      <c r="E35" s="175"/>
      <c r="F35" s="175"/>
      <c r="G35" s="114"/>
      <c r="H35" s="33"/>
    </row>
    <row r="36" spans="1:8" ht="15.75" customHeight="1" x14ac:dyDescent="0.25">
      <c r="A36" s="114"/>
      <c r="B36" s="114"/>
      <c r="C36" s="114"/>
      <c r="D36" s="114"/>
      <c r="E36" s="175"/>
      <c r="F36" s="175"/>
      <c r="G36" s="114"/>
      <c r="H36" s="33"/>
    </row>
    <row r="37" spans="1:8" ht="15.75" customHeight="1" x14ac:dyDescent="0.25">
      <c r="A37" s="114"/>
      <c r="B37" s="114"/>
      <c r="C37" s="114"/>
      <c r="D37" s="114"/>
      <c r="E37" s="175"/>
      <c r="F37" s="175"/>
      <c r="G37" s="114"/>
      <c r="H37" s="33"/>
    </row>
    <row r="38" spans="1:8" ht="15.75" customHeight="1" x14ac:dyDescent="0.25">
      <c r="A38" s="114"/>
      <c r="B38" s="114"/>
      <c r="C38" s="114"/>
      <c r="D38" s="114"/>
      <c r="E38" s="175"/>
      <c r="F38" s="175"/>
      <c r="G38" s="114"/>
      <c r="H38" s="33"/>
    </row>
    <row r="39" spans="1:8" ht="15.75" customHeight="1" x14ac:dyDescent="0.25">
      <c r="A39" s="114"/>
      <c r="B39" s="114"/>
      <c r="C39" s="114"/>
      <c r="D39" s="114"/>
      <c r="E39" s="175"/>
      <c r="F39" s="175"/>
      <c r="G39" s="114"/>
      <c r="H39" s="33"/>
    </row>
    <row r="40" spans="1:8" ht="15.75" customHeight="1" x14ac:dyDescent="0.25">
      <c r="A40" s="114"/>
      <c r="B40" s="114"/>
      <c r="C40" s="114"/>
      <c r="D40" s="114"/>
      <c r="E40" s="175"/>
      <c r="F40" s="175"/>
      <c r="G40" s="114"/>
      <c r="H40" s="33"/>
    </row>
    <row r="41" spans="1:8" ht="15.75" customHeight="1" x14ac:dyDescent="0.25">
      <c r="A41" s="114"/>
      <c r="B41" s="114"/>
      <c r="C41" s="114"/>
      <c r="D41" s="114"/>
      <c r="E41" s="175"/>
      <c r="F41" s="175"/>
      <c r="G41" s="114"/>
      <c r="H41" s="33"/>
    </row>
    <row r="42" spans="1:8" ht="15.75" customHeight="1" x14ac:dyDescent="0.25">
      <c r="A42" s="114"/>
      <c r="B42" s="114"/>
      <c r="C42" s="114"/>
      <c r="D42" s="114"/>
      <c r="E42" s="175"/>
      <c r="F42" s="175"/>
      <c r="G42" s="114"/>
      <c r="H42" s="33"/>
    </row>
    <row r="43" spans="1:8" ht="15.75" customHeight="1" x14ac:dyDescent="0.25">
      <c r="A43" s="114"/>
      <c r="B43" s="114"/>
      <c r="C43" s="114"/>
      <c r="D43" s="114"/>
      <c r="E43" s="175"/>
      <c r="F43" s="175"/>
      <c r="G43" s="114"/>
      <c r="H43" s="33"/>
    </row>
    <row r="44" spans="1:8" ht="15.75" customHeight="1" x14ac:dyDescent="0.25">
      <c r="A44" s="114"/>
      <c r="B44" s="114"/>
      <c r="C44" s="114"/>
      <c r="D44" s="114"/>
      <c r="E44" s="175"/>
      <c r="F44" s="175"/>
      <c r="G44" s="114"/>
      <c r="H44" s="33"/>
    </row>
    <row r="45" spans="1:8" ht="15.75" customHeight="1" x14ac:dyDescent="0.25">
      <c r="A45" s="114"/>
      <c r="B45" s="114"/>
      <c r="C45" s="114"/>
      <c r="D45" s="114"/>
      <c r="E45" s="175"/>
      <c r="F45" s="175"/>
      <c r="G45" s="114"/>
      <c r="H45" s="33"/>
    </row>
    <row r="46" spans="1:8" ht="15.75" customHeight="1" x14ac:dyDescent="0.25">
      <c r="A46" s="114"/>
      <c r="B46" s="114"/>
      <c r="C46" s="114"/>
      <c r="D46" s="114"/>
      <c r="E46" s="175"/>
      <c r="F46" s="175"/>
      <c r="G46" s="114"/>
      <c r="H46" s="33"/>
    </row>
    <row r="47" spans="1:8" ht="15.75" customHeight="1" x14ac:dyDescent="0.25">
      <c r="A47" s="114"/>
      <c r="B47" s="114"/>
      <c r="C47" s="114"/>
      <c r="D47" s="114"/>
      <c r="E47" s="175"/>
      <c r="F47" s="175"/>
      <c r="G47" s="114"/>
      <c r="H47" s="33"/>
    </row>
    <row r="48" spans="1:8" ht="15.75" customHeight="1" x14ac:dyDescent="0.25">
      <c r="A48" s="114"/>
      <c r="B48" s="114"/>
      <c r="C48" s="114"/>
      <c r="D48" s="114"/>
      <c r="E48" s="175"/>
      <c r="F48" s="175"/>
      <c r="G48" s="114"/>
      <c r="H48" s="33"/>
    </row>
    <row r="49" spans="1:9" ht="15.75" customHeight="1" x14ac:dyDescent="0.25">
      <c r="A49" s="114"/>
      <c r="B49" s="114"/>
      <c r="C49" s="114"/>
      <c r="D49" s="114"/>
      <c r="E49" s="175"/>
      <c r="F49" s="175"/>
      <c r="G49" s="114"/>
      <c r="H49" s="33"/>
    </row>
    <row r="50" spans="1:9" ht="15.75" customHeight="1" x14ac:dyDescent="0.25">
      <c r="A50" s="114"/>
      <c r="B50" s="114"/>
      <c r="C50" s="114"/>
      <c r="D50" s="114"/>
      <c r="E50" s="175"/>
      <c r="F50" s="175"/>
      <c r="G50" s="114"/>
      <c r="H50" s="33"/>
    </row>
    <row r="51" spans="1:9" ht="15.75" customHeight="1" x14ac:dyDescent="0.25">
      <c r="A51" s="114"/>
      <c r="B51" s="114"/>
      <c r="C51" s="114"/>
      <c r="D51" s="114"/>
      <c r="E51" s="175"/>
      <c r="F51" s="175"/>
      <c r="G51" s="114"/>
      <c r="H51" s="33"/>
    </row>
    <row r="52" spans="1:9" ht="15.75" customHeight="1" x14ac:dyDescent="0.25">
      <c r="A52" s="54"/>
      <c r="B52" s="116"/>
      <c r="C52" s="110"/>
      <c r="D52" s="54"/>
      <c r="E52" s="175"/>
      <c r="F52" s="85"/>
      <c r="G52" s="114"/>
      <c r="H52" s="33"/>
    </row>
    <row r="53" spans="1:9" ht="15.75" customHeight="1" x14ac:dyDescent="0.25">
      <c r="A53" s="114"/>
      <c r="B53" s="114"/>
      <c r="C53" s="114"/>
      <c r="D53" s="114"/>
      <c r="E53" s="175"/>
      <c r="F53" s="175"/>
      <c r="G53" s="114"/>
      <c r="H53" s="33"/>
    </row>
    <row r="54" spans="1:9" ht="15.75" customHeight="1" x14ac:dyDescent="0.25">
      <c r="A54" s="114"/>
      <c r="B54" s="114"/>
      <c r="C54" s="114"/>
      <c r="D54" s="114"/>
      <c r="E54" s="175"/>
      <c r="F54" s="175"/>
      <c r="G54" s="114"/>
      <c r="H54" s="33"/>
    </row>
    <row r="55" spans="1:9" ht="15.75" customHeight="1" x14ac:dyDescent="0.25">
      <c r="A55" s="114"/>
      <c r="B55" s="114"/>
      <c r="C55" s="114"/>
      <c r="D55" s="114"/>
      <c r="E55" s="175"/>
      <c r="F55" s="175"/>
      <c r="G55" s="114"/>
      <c r="H55" s="33"/>
    </row>
    <row r="56" spans="1:9" ht="15.75" customHeight="1" x14ac:dyDescent="0.25">
      <c r="A56" s="114"/>
      <c r="B56" s="114"/>
      <c r="C56" s="114"/>
      <c r="D56" s="114"/>
      <c r="E56" s="175"/>
      <c r="F56" s="175"/>
      <c r="G56" s="114"/>
      <c r="H56" s="33"/>
    </row>
    <row r="57" spans="1:9" ht="15.75" customHeight="1" x14ac:dyDescent="0.25">
      <c r="A57" s="114"/>
      <c r="B57" s="114"/>
      <c r="C57" s="114"/>
      <c r="D57" s="114"/>
      <c r="E57" s="175"/>
      <c r="F57" s="175"/>
      <c r="G57" s="114"/>
      <c r="H57" s="33"/>
    </row>
    <row r="58" spans="1:9" ht="15.75" customHeight="1" x14ac:dyDescent="0.25">
      <c r="A58" s="114"/>
      <c r="B58" s="114"/>
      <c r="C58" s="114"/>
      <c r="D58" s="114"/>
      <c r="E58" s="175"/>
      <c r="F58" s="175"/>
      <c r="G58" s="114"/>
      <c r="H58" s="33"/>
    </row>
    <row r="59" spans="1:9" ht="15.75" customHeight="1" x14ac:dyDescent="0.25">
      <c r="A59" s="114"/>
      <c r="B59" s="114"/>
      <c r="C59" s="78"/>
      <c r="D59" s="54"/>
      <c r="E59" s="175"/>
      <c r="F59" s="85"/>
      <c r="G59" s="114"/>
      <c r="H59" s="115"/>
      <c r="I59" s="163"/>
    </row>
    <row r="60" spans="1:9" ht="15.75" customHeight="1" x14ac:dyDescent="0.25">
      <c r="A60" s="114"/>
      <c r="B60" s="114"/>
      <c r="C60" s="114"/>
      <c r="D60" s="114"/>
      <c r="E60" s="175"/>
      <c r="F60" s="175"/>
      <c r="G60" s="114"/>
      <c r="H60" s="171">
        <f>SUM(H2:H59)</f>
        <v>0</v>
      </c>
    </row>
    <row r="61" spans="1:9" ht="15.75" customHeight="1" x14ac:dyDescent="0.25">
      <c r="E61" s="133">
        <f t="shared" ref="E61:F61" si="0">SUM(E2:E60)</f>
        <v>3449.4700000000003</v>
      </c>
      <c r="F61" s="133">
        <f t="shared" si="0"/>
        <v>5675.49</v>
      </c>
    </row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54">
        <v>46275</v>
      </c>
      <c r="B4" s="78">
        <v>54323</v>
      </c>
      <c r="C4" s="78" t="s">
        <v>525</v>
      </c>
      <c r="D4" s="54">
        <v>46305</v>
      </c>
      <c r="E4" s="85"/>
      <c r="F4" s="85">
        <v>85.2</v>
      </c>
      <c r="G4" s="114"/>
      <c r="H4" s="34"/>
    </row>
    <row r="5" spans="1:9" x14ac:dyDescent="0.25">
      <c r="A5" s="54">
        <v>46267</v>
      </c>
      <c r="B5" s="78">
        <v>21979</v>
      </c>
      <c r="C5" s="78" t="s">
        <v>629</v>
      </c>
      <c r="D5" s="54">
        <v>46297</v>
      </c>
      <c r="E5" s="85"/>
      <c r="F5" s="85">
        <v>321.92</v>
      </c>
      <c r="G5" s="114"/>
      <c r="H5" s="34"/>
    </row>
    <row r="6" spans="1:9" x14ac:dyDescent="0.25">
      <c r="A6" s="54">
        <v>46268</v>
      </c>
      <c r="B6" s="78">
        <v>35410</v>
      </c>
      <c r="C6" s="78" t="s">
        <v>523</v>
      </c>
      <c r="D6" s="54">
        <v>46298</v>
      </c>
      <c r="E6" s="85"/>
      <c r="F6" s="85">
        <v>449.5</v>
      </c>
      <c r="G6" s="114"/>
      <c r="H6" s="33"/>
    </row>
    <row r="7" spans="1:9" x14ac:dyDescent="0.25">
      <c r="A7" s="54">
        <v>46273</v>
      </c>
      <c r="B7" s="78">
        <v>35535</v>
      </c>
      <c r="C7" s="110" t="s">
        <v>523</v>
      </c>
      <c r="D7" s="54">
        <v>46303</v>
      </c>
      <c r="E7" s="85"/>
      <c r="F7" s="85">
        <v>50</v>
      </c>
      <c r="G7" s="114"/>
      <c r="H7" s="33"/>
    </row>
    <row r="8" spans="1:9" x14ac:dyDescent="0.25">
      <c r="A8" s="54">
        <v>46275</v>
      </c>
      <c r="B8" s="78">
        <v>215516</v>
      </c>
      <c r="C8" s="78" t="s">
        <v>603</v>
      </c>
      <c r="D8" s="54">
        <v>46305</v>
      </c>
      <c r="E8" s="85"/>
      <c r="F8" s="85">
        <v>136</v>
      </c>
      <c r="G8" s="114"/>
      <c r="H8" s="33"/>
    </row>
    <row r="9" spans="1:9" x14ac:dyDescent="0.25">
      <c r="A9" s="54">
        <v>46275</v>
      </c>
      <c r="B9" s="78">
        <v>23070</v>
      </c>
      <c r="C9" s="78" t="s">
        <v>579</v>
      </c>
      <c r="D9" s="54">
        <v>46305</v>
      </c>
      <c r="E9" s="85"/>
      <c r="F9" s="85">
        <v>43.2</v>
      </c>
      <c r="G9" s="114"/>
      <c r="H9" s="33"/>
    </row>
    <row r="10" spans="1:9" x14ac:dyDescent="0.25">
      <c r="A10" s="54">
        <v>46275</v>
      </c>
      <c r="B10" s="78">
        <v>454</v>
      </c>
      <c r="C10" s="78" t="s">
        <v>475</v>
      </c>
      <c r="D10" s="54">
        <v>46305</v>
      </c>
      <c r="E10" s="85"/>
      <c r="F10" s="85">
        <v>355</v>
      </c>
      <c r="G10" s="114"/>
      <c r="H10" s="33"/>
    </row>
    <row r="11" spans="1:9" x14ac:dyDescent="0.25">
      <c r="A11" s="54">
        <v>46275</v>
      </c>
      <c r="B11" s="78">
        <v>3294</v>
      </c>
      <c r="C11" s="78" t="s">
        <v>631</v>
      </c>
      <c r="D11" s="157">
        <v>46305</v>
      </c>
      <c r="E11" s="85"/>
      <c r="F11" s="85">
        <v>498</v>
      </c>
      <c r="G11" s="114"/>
      <c r="H11" s="33"/>
    </row>
    <row r="12" spans="1:9" x14ac:dyDescent="0.25">
      <c r="A12" s="181">
        <v>46266</v>
      </c>
      <c r="B12" s="183">
        <v>51914</v>
      </c>
      <c r="C12" s="183" t="s">
        <v>442</v>
      </c>
      <c r="D12" s="184">
        <v>46296</v>
      </c>
      <c r="E12" s="185"/>
      <c r="F12" s="186">
        <v>1130</v>
      </c>
      <c r="G12" s="114"/>
      <c r="H12" s="33"/>
    </row>
    <row r="13" spans="1:9" x14ac:dyDescent="0.25">
      <c r="A13" s="54">
        <v>46280</v>
      </c>
      <c r="B13" s="78">
        <v>35903</v>
      </c>
      <c r="C13" s="78" t="s">
        <v>434</v>
      </c>
      <c r="D13" s="157">
        <v>46310</v>
      </c>
      <c r="E13" s="85"/>
      <c r="F13" s="85">
        <v>83.5</v>
      </c>
      <c r="G13" s="114"/>
      <c r="H13" s="33"/>
    </row>
    <row r="14" spans="1:9" x14ac:dyDescent="0.25">
      <c r="A14" s="54">
        <v>46282</v>
      </c>
      <c r="B14" s="78">
        <v>36029</v>
      </c>
      <c r="C14" s="78" t="s">
        <v>434</v>
      </c>
      <c r="D14" s="157">
        <v>46312</v>
      </c>
      <c r="E14" s="85"/>
      <c r="F14" s="85">
        <v>106.42</v>
      </c>
      <c r="G14" s="114"/>
      <c r="H14" s="33"/>
    </row>
    <row r="15" spans="1:9" x14ac:dyDescent="0.25">
      <c r="A15" s="54">
        <v>46287</v>
      </c>
      <c r="B15" s="78">
        <v>36206</v>
      </c>
      <c r="C15" s="78" t="s">
        <v>434</v>
      </c>
      <c r="D15" s="157">
        <v>46317</v>
      </c>
      <c r="E15" s="85"/>
      <c r="F15" s="85">
        <v>183</v>
      </c>
      <c r="G15" s="114"/>
      <c r="H15" s="33"/>
    </row>
    <row r="16" spans="1:9" x14ac:dyDescent="0.25">
      <c r="A16" s="188">
        <v>46287</v>
      </c>
      <c r="B16" s="78">
        <v>36215</v>
      </c>
      <c r="C16" s="78" t="s">
        <v>434</v>
      </c>
      <c r="D16" s="189">
        <v>46317</v>
      </c>
      <c r="E16" s="175"/>
      <c r="F16" s="85">
        <v>225</v>
      </c>
      <c r="G16" s="114"/>
      <c r="H16" s="33"/>
    </row>
    <row r="17" spans="1:9" ht="15.75" customHeight="1" x14ac:dyDescent="0.25">
      <c r="A17" s="188">
        <v>46274</v>
      </c>
      <c r="B17" s="78">
        <v>4636</v>
      </c>
      <c r="C17" s="78" t="s">
        <v>600</v>
      </c>
      <c r="D17" s="189">
        <v>46309</v>
      </c>
      <c r="E17" s="175"/>
      <c r="F17" s="85">
        <v>253</v>
      </c>
      <c r="G17" s="114"/>
      <c r="H17" s="33"/>
    </row>
    <row r="18" spans="1:9" ht="15.75" customHeight="1" x14ac:dyDescent="0.25">
      <c r="A18" s="54">
        <v>46282</v>
      </c>
      <c r="B18" s="78">
        <v>7724</v>
      </c>
      <c r="C18" s="78" t="s">
        <v>632</v>
      </c>
      <c r="D18" s="189">
        <v>46312</v>
      </c>
      <c r="E18" s="175"/>
      <c r="F18" s="85">
        <v>397.5</v>
      </c>
      <c r="G18" s="114"/>
      <c r="H18" s="33"/>
    </row>
    <row r="19" spans="1:9" ht="15.75" customHeight="1" x14ac:dyDescent="0.25">
      <c r="A19" s="54">
        <v>46279</v>
      </c>
      <c r="B19" s="78">
        <v>7676</v>
      </c>
      <c r="C19" s="78" t="s">
        <v>632</v>
      </c>
      <c r="D19" s="188">
        <v>46298</v>
      </c>
      <c r="E19" s="175"/>
      <c r="F19" s="85">
        <v>442.8</v>
      </c>
      <c r="G19" s="114"/>
      <c r="H19" s="33"/>
    </row>
    <row r="20" spans="1:9" ht="15.75" customHeight="1" x14ac:dyDescent="0.25">
      <c r="A20" s="188">
        <v>46280</v>
      </c>
      <c r="B20" s="78">
        <v>52168</v>
      </c>
      <c r="C20" s="78" t="s">
        <v>36</v>
      </c>
      <c r="D20" s="54">
        <v>46280</v>
      </c>
      <c r="E20" s="175"/>
      <c r="F20" s="85">
        <v>1000</v>
      </c>
      <c r="G20" s="114"/>
      <c r="H20" s="33"/>
      <c r="I20" s="4"/>
    </row>
    <row r="21" spans="1:9" ht="15.75" customHeight="1" x14ac:dyDescent="0.25">
      <c r="A21" s="188">
        <v>46283</v>
      </c>
      <c r="B21" s="78">
        <v>69205</v>
      </c>
      <c r="C21" s="78" t="s">
        <v>125</v>
      </c>
      <c r="D21" s="189">
        <v>46313</v>
      </c>
      <c r="E21" s="175"/>
      <c r="F21" s="85">
        <v>4.05</v>
      </c>
      <c r="G21" s="114"/>
      <c r="H21" s="33"/>
    </row>
    <row r="22" spans="1:9" ht="15.75" customHeight="1" x14ac:dyDescent="0.25">
      <c r="A22" s="188">
        <v>46283</v>
      </c>
      <c r="B22" s="78">
        <v>215746</v>
      </c>
      <c r="C22" s="78" t="s">
        <v>603</v>
      </c>
      <c r="D22" s="189">
        <v>46313</v>
      </c>
      <c r="E22" s="175"/>
      <c r="F22" s="85">
        <v>254.2</v>
      </c>
      <c r="G22" s="114"/>
      <c r="H22" s="33"/>
    </row>
    <row r="23" spans="1:9" ht="15.75" customHeight="1" x14ac:dyDescent="0.25">
      <c r="A23" s="188">
        <v>46280</v>
      </c>
      <c r="B23" s="78">
        <v>2870</v>
      </c>
      <c r="C23" s="78" t="s">
        <v>72</v>
      </c>
      <c r="D23" s="188">
        <v>46300</v>
      </c>
      <c r="E23" s="175"/>
      <c r="F23" s="85">
        <v>115</v>
      </c>
      <c r="G23" s="114"/>
      <c r="H23" s="33"/>
    </row>
    <row r="24" spans="1:9" ht="15.75" customHeight="1" x14ac:dyDescent="0.25">
      <c r="A24" s="190">
        <v>46287</v>
      </c>
      <c r="B24" s="4">
        <v>122313</v>
      </c>
      <c r="C24" s="4" t="s">
        <v>633</v>
      </c>
      <c r="D24" s="191">
        <v>46317</v>
      </c>
      <c r="F24" s="4">
        <v>158.38999999999999</v>
      </c>
      <c r="G24" s="114"/>
      <c r="H24" s="33"/>
    </row>
    <row r="25" spans="1:9" ht="15.75" customHeight="1" x14ac:dyDescent="0.25">
      <c r="G25" s="114"/>
      <c r="H25" s="33"/>
    </row>
    <row r="26" spans="1:9" ht="15.75" customHeight="1" x14ac:dyDescent="0.25">
      <c r="G26" s="114"/>
      <c r="H26" s="33"/>
    </row>
    <row r="27" spans="1:9" ht="15.75" customHeight="1" x14ac:dyDescent="0.25">
      <c r="A27" s="114"/>
      <c r="B27" s="114"/>
      <c r="C27" s="114"/>
      <c r="D27" s="114"/>
      <c r="E27" s="175"/>
      <c r="F27" s="175"/>
      <c r="G27" s="114"/>
      <c r="H27" s="33"/>
    </row>
    <row r="28" spans="1:9" ht="15.75" customHeight="1" x14ac:dyDescent="0.25">
      <c r="A28" s="114"/>
      <c r="B28" s="114"/>
      <c r="C28" s="114"/>
      <c r="D28" s="114"/>
      <c r="E28" s="175"/>
      <c r="F28" s="175"/>
      <c r="G28" s="114"/>
      <c r="H28" s="33"/>
    </row>
    <row r="29" spans="1:9" ht="15.75" customHeight="1" x14ac:dyDescent="0.25">
      <c r="A29" s="114"/>
      <c r="B29" s="114"/>
      <c r="C29" s="114"/>
      <c r="D29" s="114"/>
      <c r="E29" s="175"/>
      <c r="F29" s="175"/>
      <c r="G29" s="114"/>
      <c r="H29" s="33"/>
    </row>
    <row r="30" spans="1:9" ht="15.75" customHeight="1" x14ac:dyDescent="0.25">
      <c r="A30" s="114"/>
      <c r="B30" s="114"/>
      <c r="C30" s="114"/>
      <c r="D30" s="114"/>
      <c r="E30" s="175"/>
      <c r="F30" s="175"/>
      <c r="G30" s="114"/>
      <c r="H30" s="33"/>
    </row>
    <row r="31" spans="1:9" ht="15.75" customHeight="1" x14ac:dyDescent="0.25">
      <c r="A31" s="114"/>
      <c r="B31" s="114"/>
      <c r="C31" s="114"/>
      <c r="D31" s="114"/>
      <c r="E31" s="175"/>
      <c r="F31" s="175"/>
      <c r="G31" s="114"/>
      <c r="H31" s="33"/>
    </row>
    <row r="32" spans="1:9" ht="15.75" customHeight="1" x14ac:dyDescent="0.25">
      <c r="A32" s="114"/>
      <c r="B32" s="114"/>
      <c r="C32" s="114"/>
      <c r="D32" s="114"/>
      <c r="E32" s="175"/>
      <c r="F32" s="175"/>
      <c r="G32" s="114"/>
      <c r="H32" s="33"/>
    </row>
    <row r="33" spans="1:8" ht="15.75" customHeight="1" x14ac:dyDescent="0.25">
      <c r="A33" s="114"/>
      <c r="B33" s="114"/>
      <c r="C33" s="114"/>
      <c r="D33" s="114"/>
      <c r="E33" s="175"/>
      <c r="F33" s="175"/>
      <c r="G33" s="114"/>
      <c r="H33" s="33"/>
    </row>
    <row r="34" spans="1:8" ht="15.75" customHeight="1" x14ac:dyDescent="0.25">
      <c r="A34" s="114"/>
      <c r="B34" s="114"/>
      <c r="C34" s="114"/>
      <c r="D34" s="114"/>
      <c r="E34" s="175"/>
      <c r="F34" s="175"/>
      <c r="G34" s="114"/>
      <c r="H34" s="33"/>
    </row>
    <row r="35" spans="1:8" ht="15.75" customHeight="1" x14ac:dyDescent="0.25">
      <c r="A35" s="114"/>
      <c r="B35" s="114"/>
      <c r="C35" s="114"/>
      <c r="D35" s="114"/>
      <c r="E35" s="175"/>
      <c r="F35" s="175"/>
      <c r="G35" s="114"/>
      <c r="H35" s="33"/>
    </row>
    <row r="36" spans="1:8" ht="15.75" customHeight="1" x14ac:dyDescent="0.25">
      <c r="A36" s="114"/>
      <c r="B36" s="114"/>
      <c r="C36" s="114"/>
      <c r="D36" s="114"/>
      <c r="E36" s="175"/>
      <c r="F36" s="175"/>
      <c r="G36" s="114"/>
      <c r="H36" s="33"/>
    </row>
    <row r="37" spans="1:8" ht="15.75" customHeight="1" x14ac:dyDescent="0.25">
      <c r="A37" s="114"/>
      <c r="B37" s="114"/>
      <c r="C37" s="114"/>
      <c r="D37" s="114"/>
      <c r="E37" s="175"/>
      <c r="F37" s="175"/>
      <c r="G37" s="114"/>
      <c r="H37" s="33"/>
    </row>
    <row r="38" spans="1:8" ht="15.75" customHeight="1" x14ac:dyDescent="0.25">
      <c r="A38" s="114"/>
      <c r="B38" s="114"/>
      <c r="C38" s="114"/>
      <c r="D38" s="114"/>
      <c r="E38" s="175"/>
      <c r="F38" s="175"/>
      <c r="G38" s="114"/>
      <c r="H38" s="33"/>
    </row>
    <row r="39" spans="1:8" ht="15.75" customHeight="1" x14ac:dyDescent="0.25">
      <c r="A39" s="114"/>
      <c r="B39" s="114"/>
      <c r="C39" s="114"/>
      <c r="D39" s="114"/>
      <c r="E39" s="175"/>
      <c r="F39" s="175"/>
      <c r="G39" s="114"/>
      <c r="H39" s="33"/>
    </row>
    <row r="40" spans="1:8" ht="15.75" customHeight="1" x14ac:dyDescent="0.25">
      <c r="A40" s="114"/>
      <c r="B40" s="114"/>
      <c r="C40" s="114"/>
      <c r="D40" s="114"/>
      <c r="E40" s="175"/>
      <c r="F40" s="175"/>
      <c r="G40" s="114"/>
      <c r="H40" s="33"/>
    </row>
    <row r="41" spans="1:8" ht="15.75" customHeight="1" x14ac:dyDescent="0.25">
      <c r="A41" s="114"/>
      <c r="B41" s="114"/>
      <c r="C41" s="114"/>
      <c r="D41" s="114"/>
      <c r="E41" s="175"/>
      <c r="F41" s="175"/>
      <c r="G41" s="114"/>
      <c r="H41" s="33"/>
    </row>
    <row r="42" spans="1:8" ht="15.75" customHeight="1" x14ac:dyDescent="0.25">
      <c r="A42" s="114"/>
      <c r="B42" s="114"/>
      <c r="C42" s="114"/>
      <c r="D42" s="114"/>
      <c r="E42" s="175"/>
      <c r="F42" s="175"/>
      <c r="G42" s="114"/>
      <c r="H42" s="33"/>
    </row>
    <row r="43" spans="1:8" ht="15.75" customHeight="1" x14ac:dyDescent="0.25">
      <c r="A43" s="114"/>
      <c r="B43" s="114"/>
      <c r="C43" s="114"/>
      <c r="D43" s="114"/>
      <c r="E43" s="175"/>
      <c r="F43" s="175"/>
      <c r="G43" s="114"/>
      <c r="H43" s="33"/>
    </row>
    <row r="44" spans="1:8" ht="15.75" customHeight="1" x14ac:dyDescent="0.25">
      <c r="A44" s="114"/>
      <c r="B44" s="114"/>
      <c r="C44" s="114"/>
      <c r="D44" s="114"/>
      <c r="E44" s="175"/>
      <c r="F44" s="175"/>
      <c r="G44" s="114"/>
      <c r="H44" s="33"/>
    </row>
    <row r="45" spans="1:8" ht="15.75" customHeight="1" x14ac:dyDescent="0.25">
      <c r="A45" s="114"/>
      <c r="B45" s="114"/>
      <c r="C45" s="114"/>
      <c r="D45" s="114"/>
      <c r="E45" s="175"/>
      <c r="F45" s="175"/>
      <c r="G45" s="114"/>
      <c r="H45" s="33"/>
    </row>
    <row r="46" spans="1:8" ht="15.75" customHeight="1" x14ac:dyDescent="0.25">
      <c r="A46" s="114"/>
      <c r="B46" s="114"/>
      <c r="C46" s="114"/>
      <c r="D46" s="114"/>
      <c r="E46" s="175"/>
      <c r="F46" s="175"/>
      <c r="G46" s="114"/>
      <c r="H46" s="33"/>
    </row>
    <row r="47" spans="1:8" ht="15.75" customHeight="1" x14ac:dyDescent="0.25">
      <c r="A47" s="114"/>
      <c r="B47" s="114"/>
      <c r="C47" s="114"/>
      <c r="D47" s="114"/>
      <c r="E47" s="175"/>
      <c r="F47" s="175"/>
      <c r="G47" s="114"/>
      <c r="H47" s="33"/>
    </row>
    <row r="48" spans="1:8" ht="15.75" customHeight="1" x14ac:dyDescent="0.25">
      <c r="A48" s="114"/>
      <c r="B48" s="114"/>
      <c r="C48" s="114"/>
      <c r="D48" s="114"/>
      <c r="E48" s="175"/>
      <c r="F48" s="175"/>
      <c r="G48" s="114"/>
      <c r="H48" s="33"/>
    </row>
    <row r="49" spans="1:9" ht="15.75" customHeight="1" x14ac:dyDescent="0.25">
      <c r="A49" s="114"/>
      <c r="B49" s="114"/>
      <c r="C49" s="114"/>
      <c r="D49" s="114"/>
      <c r="E49" s="175"/>
      <c r="F49" s="175"/>
      <c r="G49" s="114"/>
      <c r="H49" s="33"/>
    </row>
    <row r="50" spans="1:9" ht="15.75" customHeight="1" x14ac:dyDescent="0.25">
      <c r="A50" s="114"/>
      <c r="B50" s="114"/>
      <c r="C50" s="114"/>
      <c r="D50" s="114"/>
      <c r="E50" s="175"/>
      <c r="F50" s="175"/>
      <c r="G50" s="114"/>
      <c r="H50" s="33"/>
    </row>
    <row r="51" spans="1:9" ht="15.75" customHeight="1" x14ac:dyDescent="0.25">
      <c r="A51" s="114"/>
      <c r="B51" s="114"/>
      <c r="C51" s="114"/>
      <c r="D51" s="114"/>
      <c r="E51" s="175"/>
      <c r="F51" s="175"/>
      <c r="G51" s="114"/>
      <c r="H51" s="33"/>
    </row>
    <row r="52" spans="1:9" ht="15.75" customHeight="1" x14ac:dyDescent="0.25">
      <c r="A52" s="54"/>
      <c r="B52" s="116"/>
      <c r="C52" s="110"/>
      <c r="D52" s="54"/>
      <c r="E52" s="175"/>
      <c r="F52" s="85"/>
      <c r="G52" s="114"/>
      <c r="H52" s="33"/>
    </row>
    <row r="53" spans="1:9" ht="15.75" customHeight="1" x14ac:dyDescent="0.25">
      <c r="A53" s="114"/>
      <c r="B53" s="114"/>
      <c r="C53" s="114"/>
      <c r="D53" s="114"/>
      <c r="E53" s="175"/>
      <c r="F53" s="175"/>
      <c r="G53" s="114"/>
      <c r="H53" s="33"/>
    </row>
    <row r="54" spans="1:9" ht="15.75" customHeight="1" x14ac:dyDescent="0.25">
      <c r="A54" s="114"/>
      <c r="B54" s="114"/>
      <c r="C54" s="114"/>
      <c r="D54" s="114"/>
      <c r="E54" s="175"/>
      <c r="F54" s="175"/>
      <c r="G54" s="114"/>
      <c r="H54" s="33"/>
    </row>
    <row r="55" spans="1:9" ht="15.75" customHeight="1" x14ac:dyDescent="0.25">
      <c r="A55" s="114"/>
      <c r="B55" s="114"/>
      <c r="C55" s="114"/>
      <c r="D55" s="114"/>
      <c r="E55" s="175"/>
      <c r="F55" s="175"/>
      <c r="G55" s="114"/>
      <c r="H55" s="33"/>
    </row>
    <row r="56" spans="1:9" ht="15.75" customHeight="1" x14ac:dyDescent="0.25">
      <c r="A56" s="114"/>
      <c r="B56" s="114"/>
      <c r="C56" s="114"/>
      <c r="D56" s="114"/>
      <c r="E56" s="175"/>
      <c r="F56" s="175"/>
      <c r="G56" s="114"/>
      <c r="H56" s="33"/>
    </row>
    <row r="57" spans="1:9" ht="15.75" customHeight="1" x14ac:dyDescent="0.25">
      <c r="A57" s="114"/>
      <c r="B57" s="114"/>
      <c r="C57" s="114"/>
      <c r="D57" s="114"/>
      <c r="E57" s="175"/>
      <c r="F57" s="175"/>
      <c r="G57" s="114"/>
      <c r="H57" s="33"/>
    </row>
    <row r="58" spans="1:9" ht="15.75" customHeight="1" x14ac:dyDescent="0.25">
      <c r="A58" s="114"/>
      <c r="B58" s="114"/>
      <c r="C58" s="114"/>
      <c r="D58" s="114"/>
      <c r="E58" s="175"/>
      <c r="F58" s="175"/>
      <c r="G58" s="114"/>
      <c r="H58" s="33"/>
    </row>
    <row r="59" spans="1:9" ht="15.75" customHeight="1" x14ac:dyDescent="0.25">
      <c r="A59" s="114"/>
      <c r="B59" s="114"/>
      <c r="C59" s="78"/>
      <c r="D59" s="54"/>
      <c r="E59" s="175"/>
      <c r="F59" s="85"/>
      <c r="G59" s="114"/>
      <c r="H59" s="115"/>
      <c r="I59" s="163"/>
    </row>
    <row r="60" spans="1:9" ht="15.75" customHeight="1" x14ac:dyDescent="0.25">
      <c r="A60" s="114"/>
      <c r="B60" s="114"/>
      <c r="C60" s="114"/>
      <c r="D60" s="114"/>
      <c r="E60" s="175"/>
      <c r="F60" s="175"/>
      <c r="G60" s="114"/>
      <c r="H60" s="171">
        <f>SUM(H2:H59)</f>
        <v>0</v>
      </c>
    </row>
    <row r="61" spans="1:9" ht="15.75" customHeight="1" x14ac:dyDescent="0.25">
      <c r="E61" s="133">
        <f t="shared" ref="E61:F61" si="0">SUM(E2:E60)</f>
        <v>0</v>
      </c>
      <c r="F61" s="133">
        <f t="shared" si="0"/>
        <v>6291.68</v>
      </c>
    </row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54"/>
      <c r="B4" s="78"/>
      <c r="C4" s="78"/>
      <c r="D4" s="54"/>
      <c r="E4" s="85"/>
      <c r="F4" s="85"/>
      <c r="G4" s="114"/>
      <c r="H4" s="34"/>
    </row>
    <row r="5" spans="1:9" x14ac:dyDescent="0.25">
      <c r="A5" s="54"/>
      <c r="B5" s="78"/>
      <c r="C5" s="78"/>
      <c r="D5" s="54"/>
      <c r="E5" s="85"/>
      <c r="F5" s="85"/>
      <c r="G5" s="114"/>
      <c r="H5" s="34"/>
    </row>
    <row r="6" spans="1:9" x14ac:dyDescent="0.25">
      <c r="A6" s="54"/>
      <c r="B6" s="78"/>
      <c r="C6" s="78"/>
      <c r="D6" s="54"/>
      <c r="E6" s="85"/>
      <c r="F6" s="85"/>
      <c r="G6" s="114"/>
      <c r="H6" s="33"/>
    </row>
    <row r="7" spans="1:9" x14ac:dyDescent="0.25">
      <c r="A7" s="54"/>
      <c r="B7" s="116"/>
      <c r="C7" s="110"/>
      <c r="D7" s="54"/>
      <c r="E7" s="85"/>
      <c r="F7" s="85"/>
      <c r="G7" s="114"/>
      <c r="H7" s="33"/>
    </row>
    <row r="8" spans="1:9" x14ac:dyDescent="0.25">
      <c r="A8" s="54"/>
      <c r="B8" s="116"/>
      <c r="C8" s="78"/>
      <c r="D8" s="54"/>
      <c r="E8" s="85"/>
      <c r="F8" s="85"/>
      <c r="G8" s="114"/>
      <c r="H8" s="33"/>
    </row>
    <row r="9" spans="1:9" x14ac:dyDescent="0.25">
      <c r="A9" s="54"/>
      <c r="B9" s="116"/>
      <c r="C9" s="78"/>
      <c r="D9" s="54"/>
      <c r="E9" s="85"/>
      <c r="F9" s="85"/>
      <c r="G9" s="114"/>
      <c r="H9" s="33"/>
    </row>
    <row r="10" spans="1:9" x14ac:dyDescent="0.25">
      <c r="A10" s="54"/>
      <c r="B10" s="116"/>
      <c r="C10" s="78"/>
      <c r="D10" s="54"/>
      <c r="E10" s="85"/>
      <c r="F10" s="85"/>
      <c r="G10" s="114"/>
      <c r="H10" s="33"/>
    </row>
    <row r="11" spans="1:9" x14ac:dyDescent="0.25">
      <c r="A11" s="54"/>
      <c r="B11" s="139"/>
      <c r="C11" s="78"/>
      <c r="D11" s="157"/>
      <c r="E11" s="85"/>
      <c r="F11" s="85"/>
      <c r="G11" s="114"/>
      <c r="H11" s="33"/>
    </row>
    <row r="12" spans="1:9" x14ac:dyDescent="0.25">
      <c r="A12" s="181"/>
      <c r="B12" s="182"/>
      <c r="C12" s="183"/>
      <c r="D12" s="192"/>
      <c r="E12" s="185"/>
      <c r="F12" s="186"/>
      <c r="G12" s="114"/>
      <c r="H12" s="33"/>
    </row>
    <row r="13" spans="1:9" x14ac:dyDescent="0.25">
      <c r="A13" s="54"/>
      <c r="B13" s="139"/>
      <c r="C13" s="78"/>
      <c r="D13" s="54"/>
      <c r="E13" s="85"/>
      <c r="F13" s="85"/>
      <c r="G13" s="114"/>
      <c r="H13" s="33"/>
    </row>
    <row r="14" spans="1:9" x14ac:dyDescent="0.25">
      <c r="A14" s="54"/>
      <c r="B14" s="78"/>
      <c r="C14" s="78"/>
      <c r="D14" s="54"/>
      <c r="E14" s="85"/>
      <c r="F14" s="85"/>
      <c r="G14" s="114"/>
      <c r="H14" s="33"/>
    </row>
    <row r="15" spans="1:9" x14ac:dyDescent="0.25">
      <c r="A15" s="54"/>
      <c r="B15" s="78"/>
      <c r="C15" s="78"/>
      <c r="D15" s="54"/>
      <c r="E15" s="85"/>
      <c r="F15" s="85"/>
      <c r="G15" s="114"/>
      <c r="H15" s="33"/>
    </row>
    <row r="16" spans="1:9" x14ac:dyDescent="0.25">
      <c r="A16" s="54"/>
      <c r="B16" s="78"/>
      <c r="C16" s="78"/>
      <c r="D16" s="54"/>
      <c r="E16" s="85"/>
      <c r="F16" s="85"/>
      <c r="G16" s="114"/>
      <c r="H16" s="33"/>
    </row>
    <row r="17" spans="1:9" ht="15.75" customHeight="1" x14ac:dyDescent="0.25">
      <c r="A17" s="54"/>
      <c r="B17" s="78"/>
      <c r="C17" s="110"/>
      <c r="D17" s="54"/>
      <c r="E17" s="85"/>
      <c r="F17" s="85"/>
      <c r="G17" s="114"/>
      <c r="H17" s="33"/>
    </row>
    <row r="18" spans="1:9" ht="15.75" customHeight="1" x14ac:dyDescent="0.25">
      <c r="A18" s="54"/>
      <c r="B18" s="78"/>
      <c r="C18" s="78"/>
      <c r="D18" s="54"/>
      <c r="E18" s="85"/>
      <c r="F18" s="85"/>
      <c r="G18" s="114"/>
      <c r="H18" s="33"/>
    </row>
    <row r="19" spans="1:9" ht="15.75" customHeight="1" x14ac:dyDescent="0.25">
      <c r="A19" s="54"/>
      <c r="B19" s="88"/>
      <c r="C19" s="78"/>
      <c r="D19" s="157"/>
      <c r="E19" s="85"/>
      <c r="F19" s="85"/>
      <c r="G19" s="114"/>
      <c r="H19" s="33"/>
    </row>
    <row r="20" spans="1:9" ht="15.75" customHeight="1" x14ac:dyDescent="0.25">
      <c r="A20" s="54"/>
      <c r="B20" s="78"/>
      <c r="C20" s="78"/>
      <c r="D20" s="157"/>
      <c r="E20" s="85"/>
      <c r="F20" s="85"/>
      <c r="G20" s="114"/>
      <c r="H20" s="33"/>
      <c r="I20" s="4"/>
    </row>
    <row r="21" spans="1:9" ht="15.75" customHeight="1" x14ac:dyDescent="0.25">
      <c r="A21" s="54"/>
      <c r="B21" s="78"/>
      <c r="C21" s="78"/>
      <c r="D21" s="157"/>
      <c r="E21" s="85"/>
      <c r="F21" s="85"/>
      <c r="G21" s="114"/>
      <c r="H21" s="33"/>
    </row>
    <row r="22" spans="1:9" ht="15.75" customHeight="1" x14ac:dyDescent="0.25">
      <c r="A22" s="54"/>
      <c r="B22" s="78"/>
      <c r="C22" s="78"/>
      <c r="D22" s="157"/>
      <c r="E22" s="85"/>
      <c r="F22" s="85"/>
      <c r="G22" s="114"/>
      <c r="H22" s="33"/>
    </row>
    <row r="23" spans="1:9" ht="15.75" customHeight="1" x14ac:dyDescent="0.25">
      <c r="A23" s="54"/>
      <c r="B23" s="78"/>
      <c r="C23" s="78"/>
      <c r="D23" s="157"/>
      <c r="E23" s="85"/>
      <c r="F23" s="85"/>
      <c r="G23" s="114"/>
      <c r="H23" s="33"/>
    </row>
    <row r="24" spans="1:9" ht="15.75" customHeight="1" x14ac:dyDescent="0.25">
      <c r="A24" s="114"/>
      <c r="B24" s="114"/>
      <c r="C24" s="114"/>
      <c r="D24" s="114"/>
      <c r="E24" s="175"/>
      <c r="F24" s="175"/>
      <c r="G24" s="114"/>
      <c r="H24" s="33"/>
    </row>
    <row r="25" spans="1:9" ht="15.75" customHeight="1" x14ac:dyDescent="0.25">
      <c r="A25" s="114"/>
      <c r="B25" s="114"/>
      <c r="C25" s="114"/>
      <c r="D25" s="114"/>
      <c r="E25" s="175"/>
      <c r="F25" s="175"/>
      <c r="G25" s="114"/>
      <c r="H25" s="33"/>
    </row>
    <row r="26" spans="1:9" ht="15.75" customHeight="1" x14ac:dyDescent="0.25">
      <c r="A26" s="114"/>
      <c r="B26" s="114"/>
      <c r="C26" s="114"/>
      <c r="D26" s="114"/>
      <c r="E26" s="175"/>
      <c r="F26" s="175"/>
      <c r="G26" s="114"/>
      <c r="H26" s="33"/>
    </row>
    <row r="27" spans="1:9" ht="15.75" customHeight="1" x14ac:dyDescent="0.25">
      <c r="A27" s="114"/>
      <c r="B27" s="114"/>
      <c r="C27" s="114"/>
      <c r="D27" s="114"/>
      <c r="E27" s="175"/>
      <c r="F27" s="175"/>
      <c r="G27" s="114"/>
      <c r="H27" s="33"/>
    </row>
    <row r="28" spans="1:9" ht="15.75" customHeight="1" x14ac:dyDescent="0.25">
      <c r="A28" s="114"/>
      <c r="B28" s="114"/>
      <c r="C28" s="114"/>
      <c r="D28" s="114"/>
      <c r="E28" s="175"/>
      <c r="F28" s="175"/>
      <c r="G28" s="114"/>
      <c r="H28" s="33"/>
    </row>
    <row r="29" spans="1:9" ht="15.75" customHeight="1" x14ac:dyDescent="0.25">
      <c r="A29" s="114"/>
      <c r="B29" s="114"/>
      <c r="C29" s="114"/>
      <c r="D29" s="114"/>
      <c r="E29" s="175"/>
      <c r="F29" s="175"/>
      <c r="G29" s="114"/>
      <c r="H29" s="33"/>
    </row>
    <row r="30" spans="1:9" ht="15.75" customHeight="1" x14ac:dyDescent="0.25">
      <c r="A30" s="114"/>
      <c r="B30" s="114"/>
      <c r="C30" s="114"/>
      <c r="D30" s="114"/>
      <c r="E30" s="175"/>
      <c r="F30" s="175"/>
      <c r="G30" s="114"/>
      <c r="H30" s="33"/>
    </row>
    <row r="31" spans="1:9" ht="15.75" customHeight="1" x14ac:dyDescent="0.25">
      <c r="A31" s="114"/>
      <c r="B31" s="114"/>
      <c r="C31" s="114"/>
      <c r="D31" s="114"/>
      <c r="E31" s="175"/>
      <c r="F31" s="175"/>
      <c r="G31" s="114"/>
      <c r="H31" s="33"/>
    </row>
    <row r="32" spans="1:9" ht="15.75" customHeight="1" x14ac:dyDescent="0.25">
      <c r="A32" s="114"/>
      <c r="B32" s="114"/>
      <c r="C32" s="114"/>
      <c r="D32" s="114"/>
      <c r="E32" s="175"/>
      <c r="F32" s="175"/>
      <c r="G32" s="114"/>
      <c r="H32" s="33"/>
    </row>
    <row r="33" spans="1:8" ht="15.75" customHeight="1" x14ac:dyDescent="0.25">
      <c r="A33" s="114"/>
      <c r="B33" s="114"/>
      <c r="C33" s="114"/>
      <c r="D33" s="114"/>
      <c r="E33" s="175"/>
      <c r="F33" s="175"/>
      <c r="G33" s="114"/>
      <c r="H33" s="33"/>
    </row>
    <row r="34" spans="1:8" ht="15.75" customHeight="1" x14ac:dyDescent="0.25">
      <c r="A34" s="114"/>
      <c r="B34" s="114"/>
      <c r="C34" s="114"/>
      <c r="D34" s="114"/>
      <c r="E34" s="175"/>
      <c r="F34" s="175"/>
      <c r="G34" s="114"/>
      <c r="H34" s="33"/>
    </row>
    <row r="35" spans="1:8" ht="15.75" customHeight="1" x14ac:dyDescent="0.25">
      <c r="A35" s="114"/>
      <c r="B35" s="114"/>
      <c r="C35" s="114"/>
      <c r="D35" s="114"/>
      <c r="E35" s="175"/>
      <c r="F35" s="175"/>
      <c r="G35" s="114"/>
      <c r="H35" s="33"/>
    </row>
    <row r="36" spans="1:8" ht="15.75" customHeight="1" x14ac:dyDescent="0.25">
      <c r="A36" s="114"/>
      <c r="B36" s="114"/>
      <c r="C36" s="114"/>
      <c r="D36" s="114"/>
      <c r="E36" s="175"/>
      <c r="F36" s="175"/>
      <c r="G36" s="114"/>
      <c r="H36" s="33"/>
    </row>
    <row r="37" spans="1:8" ht="15.75" customHeight="1" x14ac:dyDescent="0.25">
      <c r="A37" s="114"/>
      <c r="B37" s="114"/>
      <c r="C37" s="114"/>
      <c r="D37" s="114"/>
      <c r="E37" s="175"/>
      <c r="F37" s="175"/>
      <c r="G37" s="114"/>
      <c r="H37" s="33"/>
    </row>
    <row r="38" spans="1:8" ht="15.75" customHeight="1" x14ac:dyDescent="0.25">
      <c r="A38" s="114"/>
      <c r="B38" s="114"/>
      <c r="C38" s="114"/>
      <c r="D38" s="114"/>
      <c r="E38" s="175"/>
      <c r="F38" s="175"/>
      <c r="G38" s="114"/>
      <c r="H38" s="33"/>
    </row>
    <row r="39" spans="1:8" ht="15.75" customHeight="1" x14ac:dyDescent="0.25">
      <c r="A39" s="114"/>
      <c r="B39" s="114"/>
      <c r="C39" s="114"/>
      <c r="D39" s="114"/>
      <c r="E39" s="175"/>
      <c r="F39" s="175"/>
      <c r="G39" s="114"/>
      <c r="H39" s="33"/>
    </row>
    <row r="40" spans="1:8" ht="15.75" customHeight="1" x14ac:dyDescent="0.25">
      <c r="A40" s="114"/>
      <c r="B40" s="114"/>
      <c r="C40" s="114"/>
      <c r="D40" s="114"/>
      <c r="E40" s="175"/>
      <c r="F40" s="175"/>
      <c r="G40" s="114"/>
      <c r="H40" s="33"/>
    </row>
    <row r="41" spans="1:8" ht="15.75" customHeight="1" x14ac:dyDescent="0.25">
      <c r="A41" s="114"/>
      <c r="B41" s="114"/>
      <c r="C41" s="114"/>
      <c r="D41" s="114"/>
      <c r="E41" s="175"/>
      <c r="F41" s="175"/>
      <c r="G41" s="114"/>
      <c r="H41" s="33"/>
    </row>
    <row r="42" spans="1:8" ht="15.75" customHeight="1" x14ac:dyDescent="0.25">
      <c r="A42" s="114"/>
      <c r="B42" s="114"/>
      <c r="C42" s="114"/>
      <c r="D42" s="114"/>
      <c r="E42" s="175"/>
      <c r="F42" s="175"/>
      <c r="G42" s="114"/>
      <c r="H42" s="33"/>
    </row>
    <row r="43" spans="1:8" ht="15.75" customHeight="1" x14ac:dyDescent="0.25">
      <c r="A43" s="114"/>
      <c r="B43" s="114"/>
      <c r="C43" s="114"/>
      <c r="D43" s="114"/>
      <c r="E43" s="175"/>
      <c r="F43" s="175"/>
      <c r="G43" s="114"/>
      <c r="H43" s="33"/>
    </row>
    <row r="44" spans="1:8" ht="15.75" customHeight="1" x14ac:dyDescent="0.25">
      <c r="A44" s="114"/>
      <c r="B44" s="114"/>
      <c r="C44" s="114"/>
      <c r="D44" s="114"/>
      <c r="E44" s="175"/>
      <c r="F44" s="175"/>
      <c r="G44" s="114"/>
      <c r="H44" s="33"/>
    </row>
    <row r="45" spans="1:8" ht="15.75" customHeight="1" x14ac:dyDescent="0.25">
      <c r="A45" s="114"/>
      <c r="B45" s="114"/>
      <c r="C45" s="114"/>
      <c r="D45" s="114"/>
      <c r="E45" s="175"/>
      <c r="F45" s="175"/>
      <c r="G45" s="114"/>
      <c r="H45" s="33"/>
    </row>
    <row r="46" spans="1:8" ht="15.75" customHeight="1" x14ac:dyDescent="0.25">
      <c r="A46" s="114"/>
      <c r="B46" s="114"/>
      <c r="C46" s="114"/>
      <c r="D46" s="114"/>
      <c r="E46" s="175"/>
      <c r="F46" s="175"/>
      <c r="G46" s="114"/>
      <c r="H46" s="33"/>
    </row>
    <row r="47" spans="1:8" ht="15.75" customHeight="1" x14ac:dyDescent="0.25">
      <c r="A47" s="114"/>
      <c r="B47" s="114"/>
      <c r="C47" s="114"/>
      <c r="D47" s="114"/>
      <c r="E47" s="175"/>
      <c r="F47" s="175"/>
      <c r="G47" s="114"/>
      <c r="H47" s="33"/>
    </row>
    <row r="48" spans="1:8" ht="15.75" customHeight="1" x14ac:dyDescent="0.25">
      <c r="A48" s="114"/>
      <c r="B48" s="114"/>
      <c r="C48" s="114"/>
      <c r="D48" s="114"/>
      <c r="E48" s="175"/>
      <c r="F48" s="175"/>
      <c r="G48" s="114"/>
      <c r="H48" s="33"/>
    </row>
    <row r="49" spans="1:9" ht="15.75" customHeight="1" x14ac:dyDescent="0.25">
      <c r="A49" s="114"/>
      <c r="B49" s="114"/>
      <c r="C49" s="114"/>
      <c r="D49" s="114"/>
      <c r="E49" s="175"/>
      <c r="F49" s="175"/>
      <c r="G49" s="114"/>
      <c r="H49" s="33"/>
    </row>
    <row r="50" spans="1:9" ht="15.75" customHeight="1" x14ac:dyDescent="0.25">
      <c r="A50" s="114"/>
      <c r="B50" s="114"/>
      <c r="C50" s="114"/>
      <c r="D50" s="114"/>
      <c r="E50" s="175"/>
      <c r="F50" s="175"/>
      <c r="G50" s="114"/>
      <c r="H50" s="33"/>
    </row>
    <row r="51" spans="1:9" ht="15.75" customHeight="1" x14ac:dyDescent="0.25">
      <c r="A51" s="114"/>
      <c r="B51" s="114"/>
      <c r="C51" s="114"/>
      <c r="D51" s="114"/>
      <c r="E51" s="175"/>
      <c r="F51" s="175"/>
      <c r="G51" s="114"/>
      <c r="H51" s="33"/>
    </row>
    <row r="52" spans="1:9" ht="15.75" customHeight="1" x14ac:dyDescent="0.25">
      <c r="A52" s="54"/>
      <c r="B52" s="116"/>
      <c r="C52" s="110"/>
      <c r="D52" s="54"/>
      <c r="E52" s="175"/>
      <c r="F52" s="85"/>
      <c r="G52" s="114"/>
      <c r="H52" s="33"/>
    </row>
    <row r="53" spans="1:9" ht="15.75" customHeight="1" x14ac:dyDescent="0.25">
      <c r="A53" s="114"/>
      <c r="B53" s="114"/>
      <c r="C53" s="114"/>
      <c r="D53" s="114"/>
      <c r="E53" s="175"/>
      <c r="F53" s="175"/>
      <c r="G53" s="114"/>
      <c r="H53" s="33"/>
    </row>
    <row r="54" spans="1:9" ht="15.75" customHeight="1" x14ac:dyDescent="0.25">
      <c r="A54" s="114"/>
      <c r="B54" s="114"/>
      <c r="C54" s="114"/>
      <c r="D54" s="114"/>
      <c r="E54" s="175"/>
      <c r="F54" s="175"/>
      <c r="G54" s="114"/>
      <c r="H54" s="33"/>
    </row>
    <row r="55" spans="1:9" ht="15.75" customHeight="1" x14ac:dyDescent="0.25">
      <c r="A55" s="114"/>
      <c r="B55" s="114"/>
      <c r="C55" s="114"/>
      <c r="D55" s="114"/>
      <c r="E55" s="175"/>
      <c r="F55" s="175"/>
      <c r="G55" s="114"/>
      <c r="H55" s="33"/>
    </row>
    <row r="56" spans="1:9" ht="15.75" customHeight="1" x14ac:dyDescent="0.25">
      <c r="A56" s="114"/>
      <c r="B56" s="114"/>
      <c r="C56" s="114"/>
      <c r="D56" s="114"/>
      <c r="E56" s="175"/>
      <c r="F56" s="175"/>
      <c r="G56" s="114"/>
      <c r="H56" s="33"/>
    </row>
    <row r="57" spans="1:9" ht="15.75" customHeight="1" x14ac:dyDescent="0.25">
      <c r="A57" s="114"/>
      <c r="B57" s="114"/>
      <c r="C57" s="114"/>
      <c r="D57" s="114"/>
      <c r="E57" s="175"/>
      <c r="F57" s="175"/>
      <c r="G57" s="114"/>
      <c r="H57" s="33"/>
    </row>
    <row r="58" spans="1:9" ht="15.75" customHeight="1" x14ac:dyDescent="0.25">
      <c r="A58" s="114"/>
      <c r="B58" s="114"/>
      <c r="C58" s="114"/>
      <c r="D58" s="114"/>
      <c r="E58" s="175"/>
      <c r="F58" s="175"/>
      <c r="G58" s="114"/>
      <c r="H58" s="33"/>
    </row>
    <row r="59" spans="1:9" ht="15.75" customHeight="1" x14ac:dyDescent="0.25">
      <c r="A59" s="114"/>
      <c r="B59" s="114"/>
      <c r="C59" s="78"/>
      <c r="D59" s="54"/>
      <c r="E59" s="175"/>
      <c r="F59" s="85"/>
      <c r="G59" s="114"/>
      <c r="H59" s="115"/>
      <c r="I59" s="163"/>
    </row>
    <row r="60" spans="1:9" ht="15.75" customHeight="1" x14ac:dyDescent="0.25">
      <c r="A60" s="114"/>
      <c r="B60" s="114"/>
      <c r="C60" s="114"/>
      <c r="D60" s="114"/>
      <c r="E60" s="175"/>
      <c r="F60" s="175"/>
      <c r="G60" s="114"/>
      <c r="H60" s="171">
        <f>SUM(H2:H59)</f>
        <v>0</v>
      </c>
    </row>
    <row r="61" spans="1:9" ht="15.75" customHeight="1" x14ac:dyDescent="0.25">
      <c r="E61" s="133">
        <f t="shared" ref="E61:F61" si="0">SUM(E2:E60)</f>
        <v>0</v>
      </c>
      <c r="F61" s="133">
        <f t="shared" si="0"/>
        <v>0</v>
      </c>
    </row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I1073"/>
  <sheetViews>
    <sheetView workbookViewId="0"/>
  </sheetViews>
  <sheetFormatPr defaultColWidth="12.5703125" defaultRowHeight="15" customHeight="1" x14ac:dyDescent="0.25"/>
  <cols>
    <col min="1" max="1" width="13.5703125" customWidth="1"/>
    <col min="2" max="2" width="16" customWidth="1"/>
    <col min="3" max="3" width="29" customWidth="1"/>
    <col min="4" max="4" width="15.85546875" customWidth="1"/>
    <col min="5" max="5" width="19.42578125" customWidth="1"/>
    <col min="6" max="6" width="16.28515625" customWidth="1"/>
    <col min="7" max="7" width="14.85546875" customWidth="1"/>
    <col min="8" max="8" width="16.5703125" customWidth="1"/>
    <col min="9" max="9" width="18.5703125" customWidth="1"/>
    <col min="10" max="26" width="8.5703125" customWidth="1"/>
  </cols>
  <sheetData>
    <row r="1" spans="1:9" x14ac:dyDescent="0.25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14</v>
      </c>
      <c r="H1" s="5" t="s">
        <v>19</v>
      </c>
      <c r="I1" s="5" t="s">
        <v>23</v>
      </c>
    </row>
    <row r="2" spans="1:9" x14ac:dyDescent="0.25">
      <c r="A2" s="17"/>
      <c r="B2" s="22">
        <v>1</v>
      </c>
      <c r="C2" s="23" t="s">
        <v>77</v>
      </c>
      <c r="D2" s="9"/>
      <c r="E2" s="33"/>
      <c r="F2" s="150"/>
      <c r="G2" s="4"/>
      <c r="H2" s="38"/>
    </row>
    <row r="3" spans="1:9" x14ac:dyDescent="0.25">
      <c r="A3" s="17"/>
      <c r="B3" s="32">
        <v>2</v>
      </c>
      <c r="C3" s="32" t="s">
        <v>259</v>
      </c>
      <c r="D3" s="29"/>
      <c r="E3" s="38"/>
      <c r="F3" s="38"/>
      <c r="G3" s="82"/>
      <c r="H3" s="38"/>
    </row>
    <row r="4" spans="1:9" x14ac:dyDescent="0.25">
      <c r="A4" s="54"/>
      <c r="B4" s="78"/>
      <c r="C4" s="78"/>
      <c r="D4" s="54"/>
      <c r="E4" s="85"/>
      <c r="F4" s="85"/>
      <c r="G4" s="114"/>
      <c r="H4" s="34"/>
    </row>
    <row r="5" spans="1:9" x14ac:dyDescent="0.25">
      <c r="A5" s="54"/>
      <c r="B5" s="78"/>
      <c r="C5" s="78"/>
      <c r="D5" s="54"/>
      <c r="E5" s="85"/>
      <c r="F5" s="85"/>
      <c r="G5" s="114"/>
      <c r="H5" s="34"/>
    </row>
    <row r="6" spans="1:9" x14ac:dyDescent="0.25">
      <c r="A6" s="54"/>
      <c r="B6" s="78"/>
      <c r="C6" s="78"/>
      <c r="D6" s="54"/>
      <c r="E6" s="85"/>
      <c r="F6" s="85"/>
      <c r="G6" s="114"/>
      <c r="H6" s="33"/>
    </row>
    <row r="7" spans="1:9" x14ac:dyDescent="0.25">
      <c r="A7" s="54"/>
      <c r="B7" s="116"/>
      <c r="C7" s="110"/>
      <c r="D7" s="54"/>
      <c r="E7" s="85"/>
      <c r="F7" s="85"/>
      <c r="G7" s="114"/>
      <c r="H7" s="33"/>
    </row>
    <row r="8" spans="1:9" x14ac:dyDescent="0.25">
      <c r="A8" s="54"/>
      <c r="B8" s="116"/>
      <c r="C8" s="78"/>
      <c r="D8" s="54"/>
      <c r="E8" s="85"/>
      <c r="F8" s="85"/>
      <c r="G8" s="114"/>
      <c r="H8" s="33"/>
    </row>
    <row r="9" spans="1:9" x14ac:dyDescent="0.25">
      <c r="A9" s="54"/>
      <c r="B9" s="116"/>
      <c r="C9" s="78"/>
      <c r="D9" s="54"/>
      <c r="E9" s="85"/>
      <c r="F9" s="85"/>
      <c r="G9" s="114"/>
      <c r="H9" s="33"/>
    </row>
    <row r="10" spans="1:9" x14ac:dyDescent="0.25">
      <c r="A10" s="54"/>
      <c r="B10" s="116"/>
      <c r="C10" s="78"/>
      <c r="D10" s="54"/>
      <c r="E10" s="85"/>
      <c r="F10" s="85"/>
      <c r="G10" s="114"/>
      <c r="H10" s="33"/>
    </row>
    <row r="11" spans="1:9" x14ac:dyDescent="0.25">
      <c r="A11" s="54"/>
      <c r="B11" s="139"/>
      <c r="C11" s="78"/>
      <c r="D11" s="157"/>
      <c r="E11" s="85"/>
      <c r="F11" s="85"/>
      <c r="G11" s="114"/>
      <c r="H11" s="33"/>
    </row>
    <row r="12" spans="1:9" x14ac:dyDescent="0.25">
      <c r="A12" s="181"/>
      <c r="B12" s="182"/>
      <c r="C12" s="183"/>
      <c r="D12" s="192"/>
      <c r="E12" s="185"/>
      <c r="F12" s="186"/>
      <c r="G12" s="114"/>
      <c r="H12" s="33"/>
    </row>
    <row r="13" spans="1:9" x14ac:dyDescent="0.25">
      <c r="A13" s="54"/>
      <c r="B13" s="139"/>
      <c r="C13" s="78"/>
      <c r="D13" s="54"/>
      <c r="E13" s="85"/>
      <c r="F13" s="85"/>
      <c r="G13" s="114"/>
      <c r="H13" s="33"/>
    </row>
    <row r="14" spans="1:9" x14ac:dyDescent="0.25">
      <c r="A14" s="54"/>
      <c r="B14" s="78"/>
      <c r="C14" s="78"/>
      <c r="D14" s="54"/>
      <c r="E14" s="85"/>
      <c r="F14" s="85"/>
      <c r="G14" s="114"/>
      <c r="H14" s="33"/>
    </row>
    <row r="15" spans="1:9" x14ac:dyDescent="0.25">
      <c r="A15" s="54"/>
      <c r="B15" s="78"/>
      <c r="C15" s="78"/>
      <c r="D15" s="54"/>
      <c r="E15" s="85"/>
      <c r="F15" s="85"/>
      <c r="G15" s="114"/>
      <c r="H15" s="33"/>
    </row>
    <row r="16" spans="1:9" x14ac:dyDescent="0.25">
      <c r="A16" s="54"/>
      <c r="B16" s="78"/>
      <c r="C16" s="78"/>
      <c r="D16" s="54"/>
      <c r="E16" s="85"/>
      <c r="F16" s="85"/>
      <c r="G16" s="114"/>
      <c r="H16" s="33"/>
    </row>
    <row r="17" spans="1:9" ht="15.75" customHeight="1" x14ac:dyDescent="0.25">
      <c r="A17" s="54"/>
      <c r="B17" s="78"/>
      <c r="C17" s="110"/>
      <c r="D17" s="54"/>
      <c r="E17" s="85"/>
      <c r="F17" s="85"/>
      <c r="G17" s="114"/>
      <c r="H17" s="33"/>
    </row>
    <row r="18" spans="1:9" ht="15.75" customHeight="1" x14ac:dyDescent="0.25">
      <c r="A18" s="54"/>
      <c r="B18" s="78"/>
      <c r="C18" s="78"/>
      <c r="D18" s="54"/>
      <c r="E18" s="85"/>
      <c r="F18" s="85"/>
      <c r="G18" s="114"/>
      <c r="H18" s="33"/>
    </row>
    <row r="19" spans="1:9" ht="15.75" customHeight="1" x14ac:dyDescent="0.25">
      <c r="A19" s="54"/>
      <c r="B19" s="88"/>
      <c r="C19" s="78"/>
      <c r="D19" s="157"/>
      <c r="E19" s="85"/>
      <c r="F19" s="85"/>
      <c r="G19" s="114"/>
      <c r="H19" s="33"/>
    </row>
    <row r="20" spans="1:9" ht="15.75" customHeight="1" x14ac:dyDescent="0.25">
      <c r="A20" s="54"/>
      <c r="B20" s="78"/>
      <c r="C20" s="78"/>
      <c r="D20" s="157"/>
      <c r="E20" s="85"/>
      <c r="F20" s="85"/>
      <c r="G20" s="114"/>
      <c r="H20" s="33"/>
      <c r="I20" s="4"/>
    </row>
    <row r="21" spans="1:9" ht="15.75" customHeight="1" x14ac:dyDescent="0.25">
      <c r="A21" s="54"/>
      <c r="B21" s="78"/>
      <c r="C21" s="78"/>
      <c r="D21" s="157"/>
      <c r="E21" s="85"/>
      <c r="F21" s="85"/>
      <c r="G21" s="114"/>
      <c r="H21" s="33"/>
    </row>
    <row r="22" spans="1:9" ht="15.75" customHeight="1" x14ac:dyDescent="0.25">
      <c r="A22" s="54"/>
      <c r="B22" s="78"/>
      <c r="C22" s="78"/>
      <c r="D22" s="157"/>
      <c r="E22" s="85"/>
      <c r="F22" s="85"/>
      <c r="G22" s="114"/>
      <c r="H22" s="33"/>
    </row>
    <row r="23" spans="1:9" ht="15.75" customHeight="1" x14ac:dyDescent="0.25">
      <c r="A23" s="54"/>
      <c r="B23" s="78"/>
      <c r="C23" s="78"/>
      <c r="D23" s="157"/>
      <c r="E23" s="85"/>
      <c r="F23" s="85"/>
      <c r="G23" s="114"/>
      <c r="H23" s="33"/>
    </row>
    <row r="24" spans="1:9" ht="15.75" customHeight="1" x14ac:dyDescent="0.25">
      <c r="A24" s="114"/>
      <c r="B24" s="114"/>
      <c r="C24" s="114"/>
      <c r="D24" s="114"/>
      <c r="E24" s="175"/>
      <c r="F24" s="175"/>
      <c r="G24" s="114"/>
      <c r="H24" s="33"/>
    </row>
    <row r="25" spans="1:9" ht="15.75" customHeight="1" x14ac:dyDescent="0.25">
      <c r="A25" s="114"/>
      <c r="B25" s="114"/>
      <c r="C25" s="114"/>
      <c r="D25" s="114"/>
      <c r="E25" s="175"/>
      <c r="F25" s="175"/>
      <c r="G25" s="114"/>
      <c r="H25" s="33"/>
    </row>
    <row r="26" spans="1:9" ht="15.75" customHeight="1" x14ac:dyDescent="0.25">
      <c r="A26" s="114"/>
      <c r="B26" s="114"/>
      <c r="C26" s="114"/>
      <c r="D26" s="114"/>
      <c r="E26" s="175"/>
      <c r="F26" s="175"/>
      <c r="G26" s="114"/>
      <c r="H26" s="33"/>
    </row>
    <row r="27" spans="1:9" ht="15.75" customHeight="1" x14ac:dyDescent="0.25">
      <c r="A27" s="114"/>
      <c r="B27" s="114"/>
      <c r="C27" s="114"/>
      <c r="D27" s="114"/>
      <c r="E27" s="175"/>
      <c r="F27" s="175"/>
      <c r="G27" s="114"/>
      <c r="H27" s="33"/>
    </row>
    <row r="28" spans="1:9" ht="15.75" customHeight="1" x14ac:dyDescent="0.25">
      <c r="A28" s="114"/>
      <c r="B28" s="114"/>
      <c r="C28" s="114"/>
      <c r="D28" s="114"/>
      <c r="E28" s="175"/>
      <c r="F28" s="175"/>
      <c r="G28" s="114"/>
      <c r="H28" s="33"/>
    </row>
    <row r="29" spans="1:9" ht="15.75" customHeight="1" x14ac:dyDescent="0.25">
      <c r="A29" s="114"/>
      <c r="B29" s="114"/>
      <c r="C29" s="114"/>
      <c r="D29" s="114"/>
      <c r="E29" s="175"/>
      <c r="F29" s="175"/>
      <c r="G29" s="114"/>
      <c r="H29" s="33"/>
    </row>
    <row r="30" spans="1:9" ht="15.75" customHeight="1" x14ac:dyDescent="0.25">
      <c r="A30" s="114"/>
      <c r="B30" s="114"/>
      <c r="C30" s="114"/>
      <c r="D30" s="114"/>
      <c r="E30" s="175"/>
      <c r="F30" s="175"/>
      <c r="G30" s="114"/>
      <c r="H30" s="33"/>
    </row>
    <row r="31" spans="1:9" ht="15.75" customHeight="1" x14ac:dyDescent="0.25">
      <c r="A31" s="114"/>
      <c r="B31" s="114"/>
      <c r="C31" s="114"/>
      <c r="D31" s="114"/>
      <c r="E31" s="175"/>
      <c r="F31" s="175"/>
      <c r="G31" s="114"/>
      <c r="H31" s="33"/>
    </row>
    <row r="32" spans="1:9" ht="15.75" customHeight="1" x14ac:dyDescent="0.25">
      <c r="A32" s="114"/>
      <c r="B32" s="114"/>
      <c r="C32" s="114"/>
      <c r="D32" s="114"/>
      <c r="E32" s="175"/>
      <c r="F32" s="175"/>
      <c r="G32" s="114"/>
      <c r="H32" s="33"/>
    </row>
    <row r="33" spans="1:8" ht="15.75" customHeight="1" x14ac:dyDescent="0.25">
      <c r="A33" s="114"/>
      <c r="B33" s="114"/>
      <c r="C33" s="114"/>
      <c r="D33" s="114"/>
      <c r="E33" s="175"/>
      <c r="F33" s="175"/>
      <c r="G33" s="114"/>
      <c r="H33" s="33"/>
    </row>
    <row r="34" spans="1:8" ht="15.75" customHeight="1" x14ac:dyDescent="0.25">
      <c r="A34" s="114"/>
      <c r="B34" s="114"/>
      <c r="C34" s="114"/>
      <c r="D34" s="114"/>
      <c r="E34" s="175"/>
      <c r="F34" s="175"/>
      <c r="G34" s="114"/>
      <c r="H34" s="33"/>
    </row>
    <row r="35" spans="1:8" ht="15.75" customHeight="1" x14ac:dyDescent="0.25">
      <c r="A35" s="114"/>
      <c r="B35" s="114"/>
      <c r="C35" s="114"/>
      <c r="D35" s="114"/>
      <c r="E35" s="175"/>
      <c r="F35" s="175"/>
      <c r="G35" s="114"/>
      <c r="H35" s="33"/>
    </row>
    <row r="36" spans="1:8" ht="15.75" customHeight="1" x14ac:dyDescent="0.25">
      <c r="A36" s="114"/>
      <c r="B36" s="114"/>
      <c r="C36" s="114"/>
      <c r="D36" s="114"/>
      <c r="E36" s="175"/>
      <c r="F36" s="175"/>
      <c r="G36" s="114"/>
      <c r="H36" s="33"/>
    </row>
    <row r="37" spans="1:8" ht="15.75" customHeight="1" x14ac:dyDescent="0.25">
      <c r="A37" s="114"/>
      <c r="B37" s="114"/>
      <c r="C37" s="114"/>
      <c r="D37" s="114"/>
      <c r="E37" s="175"/>
      <c r="F37" s="175"/>
      <c r="G37" s="114"/>
      <c r="H37" s="33"/>
    </row>
    <row r="38" spans="1:8" ht="15.75" customHeight="1" x14ac:dyDescent="0.25">
      <c r="A38" s="114"/>
      <c r="B38" s="114"/>
      <c r="C38" s="114"/>
      <c r="D38" s="114"/>
      <c r="E38" s="175"/>
      <c r="F38" s="175"/>
      <c r="G38" s="114"/>
      <c r="H38" s="33"/>
    </row>
    <row r="39" spans="1:8" ht="15.75" customHeight="1" x14ac:dyDescent="0.25">
      <c r="A39" s="114"/>
      <c r="B39" s="114"/>
      <c r="C39" s="114"/>
      <c r="D39" s="114"/>
      <c r="E39" s="175"/>
      <c r="F39" s="175"/>
      <c r="G39" s="114"/>
      <c r="H39" s="33"/>
    </row>
    <row r="40" spans="1:8" ht="15.75" customHeight="1" x14ac:dyDescent="0.25">
      <c r="A40" s="114"/>
      <c r="B40" s="114"/>
      <c r="C40" s="114"/>
      <c r="D40" s="114"/>
      <c r="E40" s="175"/>
      <c r="F40" s="175"/>
      <c r="G40" s="114"/>
      <c r="H40" s="33"/>
    </row>
    <row r="41" spans="1:8" ht="15.75" customHeight="1" x14ac:dyDescent="0.25">
      <c r="A41" s="114"/>
      <c r="B41" s="114"/>
      <c r="C41" s="114"/>
      <c r="D41" s="114"/>
      <c r="E41" s="175"/>
      <c r="F41" s="175"/>
      <c r="G41" s="114"/>
      <c r="H41" s="33"/>
    </row>
    <row r="42" spans="1:8" ht="15.75" customHeight="1" x14ac:dyDescent="0.25">
      <c r="A42" s="114"/>
      <c r="B42" s="114"/>
      <c r="C42" s="114"/>
      <c r="D42" s="114"/>
      <c r="E42" s="175"/>
      <c r="F42" s="175"/>
      <c r="G42" s="114"/>
      <c r="H42" s="33"/>
    </row>
    <row r="43" spans="1:8" ht="15.75" customHeight="1" x14ac:dyDescent="0.25">
      <c r="A43" s="114"/>
      <c r="B43" s="114"/>
      <c r="C43" s="114"/>
      <c r="D43" s="114"/>
      <c r="E43" s="175"/>
      <c r="F43" s="175"/>
      <c r="G43" s="114"/>
      <c r="H43" s="33"/>
    </row>
    <row r="44" spans="1:8" ht="15.75" customHeight="1" x14ac:dyDescent="0.25">
      <c r="A44" s="114"/>
      <c r="B44" s="114"/>
      <c r="C44" s="114"/>
      <c r="D44" s="114"/>
      <c r="E44" s="175"/>
      <c r="F44" s="175"/>
      <c r="G44" s="114"/>
      <c r="H44" s="33"/>
    </row>
    <row r="45" spans="1:8" ht="15.75" customHeight="1" x14ac:dyDescent="0.25">
      <c r="A45" s="114"/>
      <c r="B45" s="114"/>
      <c r="C45" s="114"/>
      <c r="D45" s="114"/>
      <c r="E45" s="175"/>
      <c r="F45" s="175"/>
      <c r="G45" s="114"/>
      <c r="H45" s="33"/>
    </row>
    <row r="46" spans="1:8" ht="15.75" customHeight="1" x14ac:dyDescent="0.25">
      <c r="A46" s="114"/>
      <c r="B46" s="114"/>
      <c r="C46" s="114"/>
      <c r="D46" s="114"/>
      <c r="E46" s="175"/>
      <c r="F46" s="175"/>
      <c r="G46" s="114"/>
      <c r="H46" s="33"/>
    </row>
    <row r="47" spans="1:8" ht="15.75" customHeight="1" x14ac:dyDescent="0.25">
      <c r="A47" s="114"/>
      <c r="B47" s="114"/>
      <c r="C47" s="114"/>
      <c r="D47" s="114"/>
      <c r="E47" s="175"/>
      <c r="F47" s="175"/>
      <c r="G47" s="114"/>
      <c r="H47" s="33"/>
    </row>
    <row r="48" spans="1:8" ht="15.75" customHeight="1" x14ac:dyDescent="0.25">
      <c r="A48" s="114"/>
      <c r="B48" s="114"/>
      <c r="C48" s="114"/>
      <c r="D48" s="114"/>
      <c r="E48" s="175"/>
      <c r="F48" s="175"/>
      <c r="G48" s="114"/>
      <c r="H48" s="33"/>
    </row>
    <row r="49" spans="1:9" ht="15.75" customHeight="1" x14ac:dyDescent="0.25">
      <c r="A49" s="114"/>
      <c r="B49" s="114"/>
      <c r="C49" s="114"/>
      <c r="D49" s="114"/>
      <c r="E49" s="175"/>
      <c r="F49" s="175"/>
      <c r="G49" s="114"/>
      <c r="H49" s="33"/>
    </row>
    <row r="50" spans="1:9" ht="15.75" customHeight="1" x14ac:dyDescent="0.25">
      <c r="A50" s="114"/>
      <c r="B50" s="114"/>
      <c r="C50" s="114"/>
      <c r="D50" s="114"/>
      <c r="E50" s="175"/>
      <c r="F50" s="175"/>
      <c r="G50" s="114"/>
      <c r="H50" s="33"/>
    </row>
    <row r="51" spans="1:9" ht="15.75" customHeight="1" x14ac:dyDescent="0.25">
      <c r="A51" s="114"/>
      <c r="B51" s="114"/>
      <c r="C51" s="114"/>
      <c r="D51" s="114"/>
      <c r="E51" s="175"/>
      <c r="F51" s="175"/>
      <c r="G51" s="114"/>
      <c r="H51" s="33"/>
    </row>
    <row r="52" spans="1:9" ht="15.75" customHeight="1" x14ac:dyDescent="0.25">
      <c r="A52" s="54"/>
      <c r="B52" s="116"/>
      <c r="C52" s="110"/>
      <c r="D52" s="54"/>
      <c r="E52" s="175"/>
      <c r="F52" s="85"/>
      <c r="G52" s="114"/>
      <c r="H52" s="33"/>
    </row>
    <row r="53" spans="1:9" ht="15.75" customHeight="1" x14ac:dyDescent="0.25">
      <c r="A53" s="114"/>
      <c r="B53" s="114"/>
      <c r="C53" s="114"/>
      <c r="D53" s="114"/>
      <c r="E53" s="175"/>
      <c r="F53" s="175"/>
      <c r="G53" s="114"/>
      <c r="H53" s="33"/>
    </row>
    <row r="54" spans="1:9" ht="15.75" customHeight="1" x14ac:dyDescent="0.25">
      <c r="A54" s="114"/>
      <c r="B54" s="114"/>
      <c r="C54" s="114"/>
      <c r="D54" s="114"/>
      <c r="E54" s="175"/>
      <c r="F54" s="175"/>
      <c r="G54" s="114"/>
      <c r="H54" s="33"/>
    </row>
    <row r="55" spans="1:9" ht="15.75" customHeight="1" x14ac:dyDescent="0.25">
      <c r="A55" s="114"/>
      <c r="B55" s="114"/>
      <c r="C55" s="114"/>
      <c r="D55" s="114"/>
      <c r="E55" s="175"/>
      <c r="F55" s="175"/>
      <c r="G55" s="114"/>
      <c r="H55" s="33"/>
    </row>
    <row r="56" spans="1:9" ht="15.75" customHeight="1" x14ac:dyDescent="0.25">
      <c r="A56" s="114"/>
      <c r="B56" s="114"/>
      <c r="C56" s="114"/>
      <c r="D56" s="114"/>
      <c r="E56" s="175"/>
      <c r="F56" s="175"/>
      <c r="G56" s="114"/>
      <c r="H56" s="33"/>
    </row>
    <row r="57" spans="1:9" ht="15.75" customHeight="1" x14ac:dyDescent="0.25">
      <c r="A57" s="114"/>
      <c r="B57" s="114"/>
      <c r="C57" s="114"/>
      <c r="D57" s="114"/>
      <c r="E57" s="175"/>
      <c r="F57" s="175"/>
      <c r="G57" s="114"/>
      <c r="H57" s="33"/>
    </row>
    <row r="58" spans="1:9" ht="15.75" customHeight="1" x14ac:dyDescent="0.25">
      <c r="A58" s="114"/>
      <c r="B58" s="114"/>
      <c r="C58" s="114"/>
      <c r="D58" s="114"/>
      <c r="E58" s="175"/>
      <c r="F58" s="175"/>
      <c r="G58" s="114"/>
      <c r="H58" s="33"/>
    </row>
    <row r="59" spans="1:9" ht="15.75" customHeight="1" x14ac:dyDescent="0.25">
      <c r="A59" s="114"/>
      <c r="B59" s="114"/>
      <c r="C59" s="78"/>
      <c r="D59" s="54"/>
      <c r="E59" s="175"/>
      <c r="F59" s="85"/>
      <c r="G59" s="114"/>
      <c r="H59" s="115"/>
      <c r="I59" s="163"/>
    </row>
    <row r="60" spans="1:9" ht="15.75" customHeight="1" x14ac:dyDescent="0.25">
      <c r="A60" s="114"/>
      <c r="B60" s="114"/>
      <c r="C60" s="114"/>
      <c r="D60" s="114"/>
      <c r="E60" s="175"/>
      <c r="F60" s="175"/>
      <c r="G60" s="114"/>
      <c r="H60" s="171">
        <f>SUM(H2:H59)</f>
        <v>0</v>
      </c>
    </row>
    <row r="61" spans="1:9" ht="15.75" customHeight="1" x14ac:dyDescent="0.25">
      <c r="E61" s="133">
        <f t="shared" ref="E61:F61" si="0">SUM(E2:E60)</f>
        <v>0</v>
      </c>
      <c r="F61" s="133">
        <f t="shared" si="0"/>
        <v>0</v>
      </c>
    </row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FORNECEDORES</vt:lpstr>
      <vt:lpstr>ABRIL(DESPESAS)</vt:lpstr>
      <vt:lpstr>MAIO(DESPESAS)</vt:lpstr>
      <vt:lpstr>JUNHO(DESPESAS)</vt:lpstr>
      <vt:lpstr>JULHO(DESPESAS)</vt:lpstr>
      <vt:lpstr>AGOSTO(DESPESAS)</vt:lpstr>
      <vt:lpstr>SETEMBRO(DESPESAS)</vt:lpstr>
      <vt:lpstr>OUTUBRO(DESPESAS)</vt:lpstr>
      <vt:lpstr>NOVEMBRO(DESPESAS)</vt:lpstr>
      <vt:lpstr>DEZEMBRO(DESPESAS)</vt:lpstr>
      <vt:lpstr>Janeiro 2026</vt:lpstr>
      <vt:lpstr>Fevereiro 2026</vt:lpstr>
      <vt:lpstr>Março 2026</vt:lpstr>
      <vt:lpstr>Abril 2026</vt:lpstr>
      <vt:lpstr>Junho 2026</vt:lpstr>
      <vt:lpstr>Maio 2026</vt:lpstr>
      <vt:lpstr>Julho 2026</vt:lpstr>
      <vt:lpstr>Agosto 2026</vt:lpstr>
      <vt:lpstr>Setembro 2026</vt:lpstr>
      <vt:lpstr>Outubro 2026</vt:lpstr>
      <vt:lpstr>Novembro 2026</vt:lpstr>
      <vt:lpstr>Dezembro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vicente da silva vicente</dc:creator>
  <cp:lastModifiedBy>DFashion</cp:lastModifiedBy>
  <dcterms:created xsi:type="dcterms:W3CDTF">2025-05-01T16:53:30Z</dcterms:created>
  <dcterms:modified xsi:type="dcterms:W3CDTF">2026-09-23T10:39:23Z</dcterms:modified>
</cp:coreProperties>
</file>